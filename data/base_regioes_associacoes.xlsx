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Sistemas Proprios em Desenvolvimento\Em desenvolvimento\painel_ovm_sc v8\data\"/>
    </mc:Choice>
  </mc:AlternateContent>
  <xr:revisionPtr revIDLastSave="0" documentId="13_ncr:1_{6727B9A3-DA01-4788-90F1-1510EB1DD28B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VD" sheetId="1" r:id="rId1"/>
    <sheet name="Tabela dinâmica" sheetId="2" r:id="rId2"/>
  </sheets>
  <definedNames>
    <definedName name="_xlnm._FilterDatabase" localSheetId="0" hidden="1">VD!$A$1:$C$296</definedName>
  </definedNames>
  <calcPr calcId="191029"/>
  <pivotCaches>
    <pivotCache cacheId="4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97" i="2" l="1"/>
  <c r="F297" i="2"/>
  <c r="H296" i="2"/>
  <c r="G296" i="2"/>
  <c r="F296" i="2"/>
  <c r="H295" i="2"/>
  <c r="G295" i="2"/>
  <c r="F295" i="2"/>
  <c r="H294" i="2"/>
  <c r="G294" i="2"/>
  <c r="F294" i="2"/>
  <c r="H293" i="2"/>
  <c r="G293" i="2"/>
  <c r="F293" i="2"/>
  <c r="H292" i="2"/>
  <c r="G292" i="2"/>
  <c r="F292" i="2"/>
  <c r="H291" i="2"/>
  <c r="G291" i="2"/>
  <c r="F291" i="2"/>
  <c r="H290" i="2"/>
  <c r="G290" i="2"/>
  <c r="F290" i="2"/>
  <c r="H289" i="2"/>
  <c r="G289" i="2"/>
  <c r="F289" i="2"/>
  <c r="H288" i="2"/>
  <c r="G288" i="2"/>
  <c r="F288" i="2"/>
  <c r="H287" i="2"/>
  <c r="G287" i="2"/>
  <c r="F287" i="2"/>
  <c r="H286" i="2"/>
  <c r="G286" i="2"/>
  <c r="F286" i="2"/>
  <c r="H285" i="2"/>
  <c r="G285" i="2"/>
  <c r="F285" i="2"/>
  <c r="H284" i="2"/>
  <c r="G284" i="2"/>
  <c r="F284" i="2"/>
  <c r="H283" i="2"/>
  <c r="G283" i="2"/>
  <c r="F283" i="2"/>
  <c r="H282" i="2"/>
  <c r="G282" i="2"/>
  <c r="F282" i="2"/>
  <c r="H281" i="2"/>
  <c r="G281" i="2"/>
  <c r="F281" i="2"/>
  <c r="H280" i="2"/>
  <c r="G280" i="2"/>
  <c r="F280" i="2"/>
  <c r="H279" i="2"/>
  <c r="G279" i="2"/>
  <c r="F279" i="2"/>
  <c r="H278" i="2"/>
  <c r="G278" i="2"/>
  <c r="F278" i="2"/>
  <c r="H277" i="2"/>
  <c r="G277" i="2"/>
  <c r="F277" i="2"/>
  <c r="H276" i="2"/>
  <c r="G276" i="2"/>
  <c r="F276" i="2"/>
  <c r="H275" i="2"/>
  <c r="G275" i="2"/>
  <c r="F275" i="2"/>
  <c r="H274" i="2"/>
  <c r="G274" i="2"/>
  <c r="F274" i="2"/>
  <c r="H273" i="2"/>
  <c r="G273" i="2"/>
  <c r="F273" i="2"/>
  <c r="H272" i="2"/>
  <c r="G272" i="2"/>
  <c r="F272" i="2"/>
  <c r="H271" i="2"/>
  <c r="G271" i="2"/>
  <c r="F271" i="2"/>
  <c r="H270" i="2"/>
  <c r="G270" i="2"/>
  <c r="F270" i="2"/>
  <c r="H269" i="2"/>
  <c r="G269" i="2"/>
  <c r="F269" i="2"/>
  <c r="H268" i="2"/>
  <c r="G268" i="2"/>
  <c r="F268" i="2"/>
  <c r="H267" i="2"/>
  <c r="G267" i="2"/>
  <c r="F267" i="2"/>
  <c r="H266" i="2"/>
  <c r="G266" i="2"/>
  <c r="F266" i="2"/>
  <c r="H265" i="2"/>
  <c r="G265" i="2"/>
  <c r="F265" i="2"/>
  <c r="H264" i="2"/>
  <c r="G264" i="2"/>
  <c r="F264" i="2"/>
  <c r="H263" i="2"/>
  <c r="G263" i="2"/>
  <c r="F263" i="2"/>
  <c r="H262" i="2"/>
  <c r="G262" i="2"/>
  <c r="F262" i="2"/>
  <c r="H261" i="2"/>
  <c r="G261" i="2"/>
  <c r="F261" i="2"/>
  <c r="H260" i="2"/>
  <c r="G260" i="2"/>
  <c r="F260" i="2"/>
  <c r="H259" i="2"/>
  <c r="G259" i="2"/>
  <c r="F259" i="2"/>
  <c r="H258" i="2"/>
  <c r="G258" i="2"/>
  <c r="F258" i="2"/>
  <c r="H257" i="2"/>
  <c r="G257" i="2"/>
  <c r="F257" i="2"/>
  <c r="H256" i="2"/>
  <c r="G256" i="2"/>
  <c r="F256" i="2"/>
  <c r="H255" i="2"/>
  <c r="G255" i="2"/>
  <c r="F255" i="2"/>
  <c r="H254" i="2"/>
  <c r="G254" i="2"/>
  <c r="F254" i="2"/>
  <c r="H253" i="2"/>
  <c r="G253" i="2"/>
  <c r="F253" i="2"/>
  <c r="H252" i="2"/>
  <c r="G252" i="2"/>
  <c r="F252" i="2"/>
  <c r="H251" i="2"/>
  <c r="G251" i="2"/>
  <c r="F251" i="2"/>
  <c r="H250" i="2"/>
  <c r="G250" i="2"/>
  <c r="F250" i="2"/>
  <c r="H249" i="2"/>
  <c r="G249" i="2"/>
  <c r="F249" i="2"/>
  <c r="H248" i="2"/>
  <c r="G248" i="2"/>
  <c r="F248" i="2"/>
  <c r="H247" i="2"/>
  <c r="G247" i="2"/>
  <c r="F247" i="2"/>
  <c r="H246" i="2"/>
  <c r="G246" i="2"/>
  <c r="F246" i="2"/>
  <c r="H245" i="2"/>
  <c r="G245" i="2"/>
  <c r="F245" i="2"/>
  <c r="H244" i="2"/>
  <c r="G244" i="2"/>
  <c r="F244" i="2"/>
  <c r="H243" i="2"/>
  <c r="G243" i="2"/>
  <c r="F243" i="2"/>
  <c r="H242" i="2"/>
  <c r="G242" i="2"/>
  <c r="F242" i="2"/>
  <c r="H241" i="2"/>
  <c r="G241" i="2"/>
  <c r="F241" i="2"/>
  <c r="H240" i="2"/>
  <c r="G240" i="2"/>
  <c r="F240" i="2"/>
  <c r="H239" i="2"/>
  <c r="G239" i="2"/>
  <c r="F239" i="2"/>
  <c r="H238" i="2"/>
  <c r="G238" i="2"/>
  <c r="F238" i="2"/>
  <c r="H237" i="2"/>
  <c r="G237" i="2"/>
  <c r="F237" i="2"/>
  <c r="H236" i="2"/>
  <c r="G236" i="2"/>
  <c r="F236" i="2"/>
  <c r="H235" i="2"/>
  <c r="G235" i="2"/>
  <c r="F235" i="2"/>
  <c r="H234" i="2"/>
  <c r="G234" i="2"/>
  <c r="F234" i="2"/>
  <c r="H233" i="2"/>
  <c r="G233" i="2"/>
  <c r="F233" i="2"/>
  <c r="H232" i="2"/>
  <c r="G232" i="2"/>
  <c r="F232" i="2"/>
  <c r="H231" i="2"/>
  <c r="G231" i="2"/>
  <c r="F231" i="2"/>
  <c r="H230" i="2"/>
  <c r="G230" i="2"/>
  <c r="F230" i="2"/>
  <c r="H229" i="2"/>
  <c r="G229" i="2"/>
  <c r="F229" i="2"/>
  <c r="H228" i="2"/>
  <c r="G228" i="2"/>
  <c r="F228" i="2"/>
  <c r="H227" i="2"/>
  <c r="G227" i="2"/>
  <c r="F227" i="2"/>
  <c r="H226" i="2"/>
  <c r="G226" i="2"/>
  <c r="F226" i="2"/>
  <c r="H225" i="2"/>
  <c r="G225" i="2"/>
  <c r="F225" i="2"/>
  <c r="H224" i="2"/>
  <c r="G224" i="2"/>
  <c r="F224" i="2"/>
  <c r="H223" i="2"/>
  <c r="G223" i="2"/>
  <c r="F223" i="2"/>
  <c r="H222" i="2"/>
  <c r="G222" i="2"/>
  <c r="F222" i="2"/>
  <c r="H221" i="2"/>
  <c r="G221" i="2"/>
  <c r="F221" i="2"/>
  <c r="H220" i="2"/>
  <c r="G220" i="2"/>
  <c r="F220" i="2"/>
  <c r="H219" i="2"/>
  <c r="G219" i="2"/>
  <c r="F219" i="2"/>
  <c r="H218" i="2"/>
  <c r="G218" i="2"/>
  <c r="F218" i="2"/>
  <c r="H217" i="2"/>
  <c r="G217" i="2"/>
  <c r="F217" i="2"/>
  <c r="H216" i="2"/>
  <c r="G216" i="2"/>
  <c r="F216" i="2"/>
  <c r="H215" i="2"/>
  <c r="G215" i="2"/>
  <c r="F215" i="2"/>
  <c r="H214" i="2"/>
  <c r="G214" i="2"/>
  <c r="F214" i="2"/>
  <c r="H213" i="2"/>
  <c r="G213" i="2"/>
  <c r="F213" i="2"/>
  <c r="H212" i="2"/>
  <c r="G212" i="2"/>
  <c r="F212" i="2"/>
  <c r="H211" i="2"/>
  <c r="G211" i="2"/>
  <c r="F211" i="2"/>
  <c r="H210" i="2"/>
  <c r="G210" i="2"/>
  <c r="F210" i="2"/>
  <c r="H209" i="2"/>
  <c r="G209" i="2"/>
  <c r="F209" i="2"/>
  <c r="H208" i="2"/>
  <c r="G208" i="2"/>
  <c r="F208" i="2"/>
  <c r="H207" i="2"/>
  <c r="G207" i="2"/>
  <c r="F207" i="2"/>
  <c r="H206" i="2"/>
  <c r="G206" i="2"/>
  <c r="F206" i="2"/>
  <c r="H205" i="2"/>
  <c r="G205" i="2"/>
  <c r="F205" i="2"/>
  <c r="H204" i="2"/>
  <c r="G204" i="2"/>
  <c r="F204" i="2"/>
  <c r="H203" i="2"/>
  <c r="G203" i="2"/>
  <c r="F203" i="2"/>
  <c r="H202" i="2"/>
  <c r="G202" i="2"/>
  <c r="F202" i="2"/>
  <c r="H201" i="2"/>
  <c r="G201" i="2"/>
  <c r="F201" i="2"/>
  <c r="H200" i="2"/>
  <c r="G200" i="2"/>
  <c r="F200" i="2"/>
  <c r="H199" i="2"/>
  <c r="G199" i="2"/>
  <c r="F199" i="2"/>
  <c r="H198" i="2"/>
  <c r="G198" i="2"/>
  <c r="F198" i="2"/>
  <c r="H197" i="2"/>
  <c r="G197" i="2"/>
  <c r="F197" i="2"/>
  <c r="H196" i="2"/>
  <c r="G196" i="2"/>
  <c r="F196" i="2"/>
  <c r="H195" i="2"/>
  <c r="G195" i="2"/>
  <c r="F195" i="2"/>
  <c r="H194" i="2"/>
  <c r="G194" i="2"/>
  <c r="F194" i="2"/>
  <c r="H193" i="2"/>
  <c r="G193" i="2"/>
  <c r="F193" i="2"/>
  <c r="H192" i="2"/>
  <c r="G192" i="2"/>
  <c r="F192" i="2"/>
  <c r="H191" i="2"/>
  <c r="G191" i="2"/>
  <c r="F191" i="2"/>
  <c r="H190" i="2"/>
  <c r="G190" i="2"/>
  <c r="F190" i="2"/>
  <c r="H189" i="2"/>
  <c r="G189" i="2"/>
  <c r="F189" i="2"/>
  <c r="H188" i="2"/>
  <c r="G188" i="2"/>
  <c r="F188" i="2"/>
  <c r="H187" i="2"/>
  <c r="G187" i="2"/>
  <c r="F187" i="2"/>
  <c r="H186" i="2"/>
  <c r="G186" i="2"/>
  <c r="F186" i="2"/>
  <c r="H185" i="2"/>
  <c r="G185" i="2"/>
  <c r="F185" i="2"/>
  <c r="H184" i="2"/>
  <c r="G184" i="2"/>
  <c r="F184" i="2"/>
  <c r="H183" i="2"/>
  <c r="G183" i="2"/>
  <c r="F183" i="2"/>
  <c r="H182" i="2"/>
  <c r="G182" i="2"/>
  <c r="F182" i="2"/>
  <c r="H181" i="2"/>
  <c r="G181" i="2"/>
  <c r="F181" i="2"/>
  <c r="H180" i="2"/>
  <c r="G180" i="2"/>
  <c r="F180" i="2"/>
  <c r="H179" i="2"/>
  <c r="G179" i="2"/>
  <c r="F179" i="2"/>
  <c r="H178" i="2"/>
  <c r="G178" i="2"/>
  <c r="F178" i="2"/>
  <c r="H177" i="2"/>
  <c r="G177" i="2"/>
  <c r="F177" i="2"/>
  <c r="H176" i="2"/>
  <c r="G176" i="2"/>
  <c r="F176" i="2"/>
  <c r="H175" i="2"/>
  <c r="G175" i="2"/>
  <c r="F175" i="2"/>
  <c r="H174" i="2"/>
  <c r="G174" i="2"/>
  <c r="F174" i="2"/>
  <c r="H173" i="2"/>
  <c r="G173" i="2"/>
  <c r="F173" i="2"/>
  <c r="H172" i="2"/>
  <c r="G172" i="2"/>
  <c r="F172" i="2"/>
  <c r="H171" i="2"/>
  <c r="G171" i="2"/>
  <c r="F171" i="2"/>
  <c r="H170" i="2"/>
  <c r="G170" i="2"/>
  <c r="F170" i="2"/>
  <c r="H169" i="2"/>
  <c r="G169" i="2"/>
  <c r="F169" i="2"/>
  <c r="H168" i="2"/>
  <c r="G168" i="2"/>
  <c r="F168" i="2"/>
  <c r="H167" i="2"/>
  <c r="G167" i="2"/>
  <c r="F167" i="2"/>
  <c r="H166" i="2"/>
  <c r="G166" i="2"/>
  <c r="F166" i="2"/>
  <c r="H165" i="2"/>
  <c r="G165" i="2"/>
  <c r="F165" i="2"/>
  <c r="H164" i="2"/>
  <c r="G164" i="2"/>
  <c r="F164" i="2"/>
  <c r="H163" i="2"/>
  <c r="G163" i="2"/>
  <c r="F163" i="2"/>
  <c r="H162" i="2"/>
  <c r="G162" i="2"/>
  <c r="F162" i="2"/>
  <c r="H161" i="2"/>
  <c r="G161" i="2"/>
  <c r="F161" i="2"/>
  <c r="H160" i="2"/>
  <c r="G160" i="2"/>
  <c r="F160" i="2"/>
  <c r="H159" i="2"/>
  <c r="G159" i="2"/>
  <c r="F159" i="2"/>
  <c r="H158" i="2"/>
  <c r="G158" i="2"/>
  <c r="F158" i="2"/>
  <c r="H157" i="2"/>
  <c r="G157" i="2"/>
  <c r="F157" i="2"/>
  <c r="H156" i="2"/>
  <c r="G156" i="2"/>
  <c r="F156" i="2"/>
  <c r="H155" i="2"/>
  <c r="G155" i="2"/>
  <c r="F155" i="2"/>
  <c r="H154" i="2"/>
  <c r="G154" i="2"/>
  <c r="F154" i="2"/>
  <c r="H153" i="2"/>
  <c r="G153" i="2"/>
  <c r="F153" i="2"/>
  <c r="H152" i="2"/>
  <c r="G152" i="2"/>
  <c r="F152" i="2"/>
  <c r="H151" i="2"/>
  <c r="G151" i="2"/>
  <c r="F151" i="2"/>
  <c r="H150" i="2"/>
  <c r="G150" i="2"/>
  <c r="F150" i="2"/>
  <c r="H149" i="2"/>
  <c r="G149" i="2"/>
  <c r="F149" i="2"/>
  <c r="H148" i="2"/>
  <c r="G148" i="2"/>
  <c r="F148" i="2"/>
  <c r="H147" i="2"/>
  <c r="G147" i="2"/>
  <c r="F147" i="2"/>
  <c r="H146" i="2"/>
  <c r="G146" i="2"/>
  <c r="F146" i="2"/>
  <c r="H145" i="2"/>
  <c r="G145" i="2"/>
  <c r="F145" i="2"/>
  <c r="H144" i="2"/>
  <c r="G144" i="2"/>
  <c r="F144" i="2"/>
  <c r="H143" i="2"/>
  <c r="G143" i="2"/>
  <c r="F143" i="2"/>
  <c r="H142" i="2"/>
  <c r="G142" i="2"/>
  <c r="F142" i="2"/>
  <c r="H141" i="2"/>
  <c r="G141" i="2"/>
  <c r="F141" i="2"/>
  <c r="H140" i="2"/>
  <c r="G140" i="2"/>
  <c r="F140" i="2"/>
  <c r="H139" i="2"/>
  <c r="G139" i="2"/>
  <c r="F139" i="2"/>
  <c r="H138" i="2"/>
  <c r="G138" i="2"/>
  <c r="F138" i="2"/>
  <c r="H137" i="2"/>
  <c r="G137" i="2"/>
  <c r="F137" i="2"/>
  <c r="H136" i="2"/>
  <c r="G136" i="2"/>
  <c r="F136" i="2"/>
  <c r="H135" i="2"/>
  <c r="G135" i="2"/>
  <c r="F135" i="2"/>
  <c r="H134" i="2"/>
  <c r="G134" i="2"/>
  <c r="F134" i="2"/>
  <c r="H133" i="2"/>
  <c r="G133" i="2"/>
  <c r="F133" i="2"/>
  <c r="H132" i="2"/>
  <c r="G132" i="2"/>
  <c r="F132" i="2"/>
  <c r="H131" i="2"/>
  <c r="G131" i="2"/>
  <c r="F131" i="2"/>
  <c r="H130" i="2"/>
  <c r="G130" i="2"/>
  <c r="F130" i="2"/>
  <c r="H129" i="2"/>
  <c r="G129" i="2"/>
  <c r="F129" i="2"/>
  <c r="H128" i="2"/>
  <c r="G128" i="2"/>
  <c r="F128" i="2"/>
  <c r="H127" i="2"/>
  <c r="G127" i="2"/>
  <c r="F127" i="2"/>
  <c r="H126" i="2"/>
  <c r="G126" i="2"/>
  <c r="F126" i="2"/>
  <c r="H125" i="2"/>
  <c r="G125" i="2"/>
  <c r="F125" i="2"/>
  <c r="H124" i="2"/>
  <c r="G124" i="2"/>
  <c r="F124" i="2"/>
  <c r="H123" i="2"/>
  <c r="G123" i="2"/>
  <c r="F123" i="2"/>
  <c r="H122" i="2"/>
  <c r="G122" i="2"/>
  <c r="F122" i="2"/>
  <c r="H121" i="2"/>
  <c r="G121" i="2"/>
  <c r="F121" i="2"/>
  <c r="H120" i="2"/>
  <c r="G120" i="2"/>
  <c r="F120" i="2"/>
  <c r="H119" i="2"/>
  <c r="G119" i="2"/>
  <c r="F119" i="2"/>
  <c r="H118" i="2"/>
  <c r="G118" i="2"/>
  <c r="F118" i="2"/>
  <c r="H117" i="2"/>
  <c r="G117" i="2"/>
  <c r="F117" i="2"/>
  <c r="H116" i="2"/>
  <c r="G116" i="2"/>
  <c r="F116" i="2"/>
  <c r="H115" i="2"/>
  <c r="G115" i="2"/>
  <c r="F115" i="2"/>
  <c r="H114" i="2"/>
  <c r="G114" i="2"/>
  <c r="F114" i="2"/>
  <c r="H113" i="2"/>
  <c r="G113" i="2"/>
  <c r="F113" i="2"/>
  <c r="H112" i="2"/>
  <c r="G112" i="2"/>
  <c r="F112" i="2"/>
  <c r="H111" i="2"/>
  <c r="G111" i="2"/>
  <c r="F111" i="2"/>
  <c r="H110" i="2"/>
  <c r="G110" i="2"/>
  <c r="F110" i="2"/>
  <c r="H109" i="2"/>
  <c r="G109" i="2"/>
  <c r="F109" i="2"/>
  <c r="H108" i="2"/>
  <c r="G108" i="2"/>
  <c r="F108" i="2"/>
  <c r="H107" i="2"/>
  <c r="G107" i="2"/>
  <c r="F107" i="2"/>
  <c r="H106" i="2"/>
  <c r="G106" i="2"/>
  <c r="F106" i="2"/>
  <c r="H105" i="2"/>
  <c r="G105" i="2"/>
  <c r="F105" i="2"/>
  <c r="H104" i="2"/>
  <c r="G104" i="2"/>
  <c r="F104" i="2"/>
  <c r="H103" i="2"/>
  <c r="G103" i="2"/>
  <c r="F103" i="2"/>
  <c r="H102" i="2"/>
  <c r="G102" i="2"/>
  <c r="F102" i="2"/>
  <c r="H101" i="2"/>
  <c r="G101" i="2"/>
  <c r="F101" i="2"/>
  <c r="H100" i="2"/>
  <c r="G100" i="2"/>
  <c r="F100" i="2"/>
  <c r="H99" i="2"/>
  <c r="G99" i="2"/>
  <c r="F99" i="2"/>
  <c r="H98" i="2"/>
  <c r="G98" i="2"/>
  <c r="F98" i="2"/>
  <c r="H97" i="2"/>
  <c r="G97" i="2"/>
  <c r="F97" i="2"/>
  <c r="H96" i="2"/>
  <c r="G96" i="2"/>
  <c r="F96" i="2"/>
  <c r="H95" i="2"/>
  <c r="G95" i="2"/>
  <c r="F95" i="2"/>
  <c r="H94" i="2"/>
  <c r="G94" i="2"/>
  <c r="F94" i="2"/>
  <c r="H93" i="2"/>
  <c r="G93" i="2"/>
  <c r="F93" i="2"/>
  <c r="H92" i="2"/>
  <c r="G92" i="2"/>
  <c r="F92" i="2"/>
  <c r="H91" i="2"/>
  <c r="G91" i="2"/>
  <c r="F91" i="2"/>
  <c r="H90" i="2"/>
  <c r="G90" i="2"/>
  <c r="F90" i="2"/>
  <c r="H89" i="2"/>
  <c r="G89" i="2"/>
  <c r="F89" i="2"/>
  <c r="H88" i="2"/>
  <c r="G88" i="2"/>
  <c r="F88" i="2"/>
  <c r="H87" i="2"/>
  <c r="G87" i="2"/>
  <c r="F87" i="2"/>
  <c r="H86" i="2"/>
  <c r="G86" i="2"/>
  <c r="F86" i="2"/>
  <c r="H85" i="2"/>
  <c r="G85" i="2"/>
  <c r="F85" i="2"/>
  <c r="H84" i="2"/>
  <c r="G84" i="2"/>
  <c r="F84" i="2"/>
  <c r="H83" i="2"/>
  <c r="G83" i="2"/>
  <c r="F83" i="2"/>
  <c r="H82" i="2"/>
  <c r="G82" i="2"/>
  <c r="F82" i="2"/>
  <c r="H81" i="2"/>
  <c r="G81" i="2"/>
  <c r="F81" i="2"/>
  <c r="H80" i="2"/>
  <c r="G80" i="2"/>
  <c r="F80" i="2"/>
  <c r="H79" i="2"/>
  <c r="G79" i="2"/>
  <c r="F79" i="2"/>
  <c r="H78" i="2"/>
  <c r="G78" i="2"/>
  <c r="F78" i="2"/>
  <c r="H77" i="2"/>
  <c r="G77" i="2"/>
  <c r="F77" i="2"/>
  <c r="H76" i="2"/>
  <c r="G76" i="2"/>
  <c r="F76" i="2"/>
  <c r="H75" i="2"/>
  <c r="G75" i="2"/>
  <c r="F75" i="2"/>
  <c r="H74" i="2"/>
  <c r="G74" i="2"/>
  <c r="F74" i="2"/>
  <c r="H73" i="2"/>
  <c r="G73" i="2"/>
  <c r="F73" i="2"/>
  <c r="H72" i="2"/>
  <c r="G72" i="2"/>
  <c r="F72" i="2"/>
  <c r="H71" i="2"/>
  <c r="G71" i="2"/>
  <c r="F71" i="2"/>
  <c r="H70" i="2"/>
  <c r="G70" i="2"/>
  <c r="F70" i="2"/>
  <c r="H69" i="2"/>
  <c r="G69" i="2"/>
  <c r="F69" i="2"/>
  <c r="H68" i="2"/>
  <c r="G68" i="2"/>
  <c r="F68" i="2"/>
  <c r="H67" i="2"/>
  <c r="G67" i="2"/>
  <c r="F67" i="2"/>
  <c r="H66" i="2"/>
  <c r="G66" i="2"/>
  <c r="F66" i="2"/>
  <c r="H65" i="2"/>
  <c r="G65" i="2"/>
  <c r="F65" i="2"/>
  <c r="H64" i="2"/>
  <c r="G64" i="2"/>
  <c r="F64" i="2"/>
  <c r="H63" i="2"/>
  <c r="G63" i="2"/>
  <c r="F63" i="2"/>
  <c r="H62" i="2"/>
  <c r="G62" i="2"/>
  <c r="F62" i="2"/>
  <c r="H61" i="2"/>
  <c r="G61" i="2"/>
  <c r="F61" i="2"/>
  <c r="H60" i="2"/>
  <c r="G60" i="2"/>
  <c r="F60" i="2"/>
  <c r="H59" i="2"/>
  <c r="G59" i="2"/>
  <c r="F59" i="2"/>
  <c r="H58" i="2"/>
  <c r="G58" i="2"/>
  <c r="F58" i="2"/>
  <c r="H57" i="2"/>
  <c r="G57" i="2"/>
  <c r="F57" i="2"/>
  <c r="H56" i="2"/>
  <c r="G56" i="2"/>
  <c r="F56" i="2"/>
  <c r="H55" i="2"/>
  <c r="G55" i="2"/>
  <c r="F55" i="2"/>
  <c r="H54" i="2"/>
  <c r="G54" i="2"/>
  <c r="F54" i="2"/>
  <c r="H53" i="2"/>
  <c r="G53" i="2"/>
  <c r="F53" i="2"/>
  <c r="H52" i="2"/>
  <c r="G52" i="2"/>
  <c r="F52" i="2"/>
  <c r="H51" i="2"/>
  <c r="G51" i="2"/>
  <c r="F51" i="2"/>
  <c r="H50" i="2"/>
  <c r="G50" i="2"/>
  <c r="F50" i="2"/>
  <c r="H49" i="2"/>
  <c r="G49" i="2"/>
  <c r="F49" i="2"/>
  <c r="H48" i="2"/>
  <c r="G48" i="2"/>
  <c r="F48" i="2"/>
  <c r="H47" i="2"/>
  <c r="G47" i="2"/>
  <c r="F47" i="2"/>
  <c r="H46" i="2"/>
  <c r="G46" i="2"/>
  <c r="F46" i="2"/>
  <c r="H45" i="2"/>
  <c r="G45" i="2"/>
  <c r="F45" i="2"/>
  <c r="H44" i="2"/>
  <c r="G44" i="2"/>
  <c r="F44" i="2"/>
  <c r="H43" i="2"/>
  <c r="G43" i="2"/>
  <c r="F43" i="2"/>
  <c r="H42" i="2"/>
  <c r="G42" i="2"/>
  <c r="F42" i="2"/>
  <c r="H41" i="2"/>
  <c r="G41" i="2"/>
  <c r="F41" i="2"/>
  <c r="H40" i="2"/>
  <c r="G40" i="2"/>
  <c r="F40" i="2"/>
  <c r="H39" i="2"/>
  <c r="G39" i="2"/>
  <c r="F39" i="2"/>
  <c r="H38" i="2"/>
  <c r="G38" i="2"/>
  <c r="F38" i="2"/>
  <c r="H37" i="2"/>
  <c r="G37" i="2"/>
  <c r="F37" i="2"/>
  <c r="H36" i="2"/>
  <c r="G36" i="2"/>
  <c r="F36" i="2"/>
  <c r="H35" i="2"/>
  <c r="G35" i="2"/>
  <c r="F35" i="2"/>
  <c r="H34" i="2"/>
  <c r="G34" i="2"/>
  <c r="F34" i="2"/>
  <c r="H33" i="2"/>
  <c r="G33" i="2"/>
  <c r="F33" i="2"/>
  <c r="H32" i="2"/>
  <c r="G32" i="2"/>
  <c r="F32" i="2"/>
  <c r="H31" i="2"/>
  <c r="G31" i="2"/>
  <c r="F31" i="2"/>
  <c r="H30" i="2"/>
  <c r="G30" i="2"/>
  <c r="F30" i="2"/>
  <c r="H29" i="2"/>
  <c r="G29" i="2"/>
  <c r="F29" i="2"/>
  <c r="H28" i="2"/>
  <c r="G28" i="2"/>
  <c r="F28" i="2"/>
  <c r="H27" i="2"/>
  <c r="G27" i="2"/>
  <c r="F27" i="2"/>
  <c r="H26" i="2"/>
  <c r="G26" i="2"/>
  <c r="F26" i="2"/>
  <c r="H25" i="2"/>
  <c r="G25" i="2"/>
  <c r="F25" i="2"/>
  <c r="H24" i="2"/>
  <c r="G24" i="2"/>
  <c r="F24" i="2"/>
  <c r="H23" i="2"/>
  <c r="G23" i="2"/>
  <c r="F23" i="2"/>
  <c r="H22" i="2"/>
  <c r="G22" i="2"/>
  <c r="F22" i="2"/>
  <c r="H21" i="2"/>
  <c r="G21" i="2"/>
  <c r="F21" i="2"/>
  <c r="H20" i="2"/>
  <c r="G20" i="2"/>
  <c r="F20" i="2"/>
  <c r="H19" i="2"/>
  <c r="G19" i="2"/>
  <c r="F19" i="2"/>
  <c r="H18" i="2"/>
  <c r="G18" i="2"/>
  <c r="F18" i="2"/>
  <c r="H17" i="2"/>
  <c r="G17" i="2"/>
  <c r="F17" i="2"/>
  <c r="H16" i="2"/>
  <c r="G16" i="2"/>
  <c r="F16" i="2"/>
  <c r="H15" i="2"/>
  <c r="G15" i="2"/>
  <c r="F15" i="2"/>
  <c r="H14" i="2"/>
  <c r="G14" i="2"/>
  <c r="F14" i="2"/>
  <c r="H13" i="2"/>
  <c r="G13" i="2"/>
  <c r="F13" i="2"/>
  <c r="H12" i="2"/>
  <c r="G12" i="2"/>
  <c r="F12" i="2"/>
  <c r="H11" i="2"/>
  <c r="G11" i="2"/>
  <c r="F11" i="2"/>
  <c r="H10" i="2"/>
  <c r="G10" i="2"/>
  <c r="F10" i="2"/>
  <c r="H9" i="2"/>
  <c r="G9" i="2"/>
  <c r="F9" i="2"/>
  <c r="H8" i="2"/>
  <c r="G8" i="2"/>
  <c r="F8" i="2"/>
  <c r="H7" i="2"/>
  <c r="G7" i="2"/>
  <c r="F7" i="2"/>
  <c r="H6" i="2"/>
  <c r="G6" i="2"/>
  <c r="F6" i="2"/>
  <c r="H5" i="2"/>
  <c r="G5" i="2"/>
  <c r="F5" i="2"/>
  <c r="H4" i="2"/>
  <c r="G4" i="2"/>
  <c r="F4" i="2"/>
  <c r="H3" i="2"/>
  <c r="G3" i="2"/>
  <c r="F3" i="2"/>
  <c r="H2" i="2"/>
  <c r="G2" i="2"/>
  <c r="F2" i="2"/>
</calcChain>
</file>

<file path=xl/sharedStrings.xml><?xml version="1.0" encoding="utf-8"?>
<sst xmlns="http://schemas.openxmlformats.org/spreadsheetml/2006/main" count="1593" uniqueCount="340">
  <si>
    <t>Município</t>
  </si>
  <si>
    <t>Mesoregião</t>
  </si>
  <si>
    <t>CHAPECÓ</t>
  </si>
  <si>
    <t>Oeste Catarinense</t>
  </si>
  <si>
    <t>BLUMENAU</t>
  </si>
  <si>
    <t>Vale do Itajaí</t>
  </si>
  <si>
    <t>BARRA VELHA</t>
  </si>
  <si>
    <t>FLORIANÓPOLIS</t>
  </si>
  <si>
    <t>Grande Florianópolis</t>
  </si>
  <si>
    <t>PENHA</t>
  </si>
  <si>
    <t>GUARAMIRIM</t>
  </si>
  <si>
    <t>Norte Catarinense</t>
  </si>
  <si>
    <t>CAMBORIÚ</t>
  </si>
  <si>
    <t>CATANDUVAS</t>
  </si>
  <si>
    <t>TRÊS BARRAS</t>
  </si>
  <si>
    <t>CAÇADOR</t>
  </si>
  <si>
    <t>SÃO JOSÉ</t>
  </si>
  <si>
    <t>ARARANGUÁ</t>
  </si>
  <si>
    <t>Sul Catarinense</t>
  </si>
  <si>
    <t>RIO DO SUL</t>
  </si>
  <si>
    <t>PORTO UNIÃO</t>
  </si>
  <si>
    <t>HERVAL D´OESTE</t>
  </si>
  <si>
    <t>CRICIÚMA</t>
  </si>
  <si>
    <t>TIMBÓ GRANDE</t>
  </si>
  <si>
    <t>VIDEIRA</t>
  </si>
  <si>
    <t>SÃO MIGUEL DO OESTE</t>
  </si>
  <si>
    <t>FORQUILHINHA</t>
  </si>
  <si>
    <t>SÃO CRISTOVÃO DO SUL</t>
  </si>
  <si>
    <t>Serrana</t>
  </si>
  <si>
    <t>ÁGUAS DE CHAPECÓ</t>
  </si>
  <si>
    <t>JOINVILLE</t>
  </si>
  <si>
    <t>BALNEÁRIO RINCÃO</t>
  </si>
  <si>
    <t>ENTRE RIOS</t>
  </si>
  <si>
    <t>BRUSQUE</t>
  </si>
  <si>
    <t>SÃO CARLOS</t>
  </si>
  <si>
    <t>SOMBRIO</t>
  </si>
  <si>
    <t>GAROPABA</t>
  </si>
  <si>
    <t>SANTO AMARO DA IMPERATRIZ</t>
  </si>
  <si>
    <t>GUATAMBÚ</t>
  </si>
  <si>
    <t>PALHOÇA</t>
  </si>
  <si>
    <t>BALNEÁRIO CAMBORIÚ</t>
  </si>
  <si>
    <t>ITAPEMA</t>
  </si>
  <si>
    <t>ÁGUA DOCE</t>
  </si>
  <si>
    <t>SÃO LOURENÇO DO OESTE</t>
  </si>
  <si>
    <t>JARAGUÁ DO SUL</t>
  </si>
  <si>
    <t>POMERODE</t>
  </si>
  <si>
    <t>NAVEGANTES</t>
  </si>
  <si>
    <t>BALNEÁRIO ARROIO DO SILVA</t>
  </si>
  <si>
    <t>FAXINAL DOS GUEDES</t>
  </si>
  <si>
    <t>TIJUCAS</t>
  </si>
  <si>
    <t>TUBARÃO</t>
  </si>
  <si>
    <t>CONCÓRDIA</t>
  </si>
  <si>
    <t>IÇARA</t>
  </si>
  <si>
    <t>TIMBÓ</t>
  </si>
  <si>
    <t>GUARUJÁ DO SUL</t>
  </si>
  <si>
    <t>URUSSANGA</t>
  </si>
  <si>
    <t>SANTA ROSA DO SUL</t>
  </si>
  <si>
    <t>ITAJAÍ</t>
  </si>
  <si>
    <t>LAGUNA</t>
  </si>
  <si>
    <t>FRAIBURGO</t>
  </si>
  <si>
    <t>BOM RETIRO</t>
  </si>
  <si>
    <t>PAPANDUVA</t>
  </si>
  <si>
    <t>MONDAÍ</t>
  </si>
  <si>
    <t>GOVERNADOR CELSO RAMOS</t>
  </si>
  <si>
    <t>RIO NEGRINHO</t>
  </si>
  <si>
    <t>MARAVILHA</t>
  </si>
  <si>
    <t>MIRIM DOCE</t>
  </si>
  <si>
    <t>INDAIAL</t>
  </si>
  <si>
    <t>CAMPO BELO DO SUL</t>
  </si>
  <si>
    <t>BOMBINHAS</t>
  </si>
  <si>
    <t>IMBITUBA</t>
  </si>
  <si>
    <t>RIO DAS ANTAS</t>
  </si>
  <si>
    <t>MORRO DA FUMAÇA</t>
  </si>
  <si>
    <t>VIDAL RAMOS</t>
  </si>
  <si>
    <t>SANGÃO</t>
  </si>
  <si>
    <t>BALNEÁRIO PIÇARRAS</t>
  </si>
  <si>
    <t>CAMPO ALEGRE</t>
  </si>
  <si>
    <t>XANXERÊ</t>
  </si>
  <si>
    <t>CAMPOS NOVOS</t>
  </si>
  <si>
    <t>IRANI</t>
  </si>
  <si>
    <t>CAPIVARI DE BAIXO</t>
  </si>
  <si>
    <t>SIDERÓPOLIS</t>
  </si>
  <si>
    <t>MONTE CARLO</t>
  </si>
  <si>
    <t>URUPEMA</t>
  </si>
  <si>
    <t>LAGES</t>
  </si>
  <si>
    <t>RIO DO OESTE</t>
  </si>
  <si>
    <t>PAULO LOPES</t>
  </si>
  <si>
    <t>SÃO FRANCISCO DO SUL</t>
  </si>
  <si>
    <t>BALNEÁRIO GAIVOTA</t>
  </si>
  <si>
    <t>CALMON</t>
  </si>
  <si>
    <t>BALNEÁRIO BARRA DO SUL</t>
  </si>
  <si>
    <t>PINHALZINHO</t>
  </si>
  <si>
    <t>BELA VISTA DO TOLDO</t>
  </si>
  <si>
    <t>BIGUAÇU</t>
  </si>
  <si>
    <t>ABELARDO LUZ</t>
  </si>
  <si>
    <t>SÃO JOÃO BATISTA</t>
  </si>
  <si>
    <t>JOAÇABA</t>
  </si>
  <si>
    <t>PINHEIRO PRETO</t>
  </si>
  <si>
    <t>MAFRA</t>
  </si>
  <si>
    <t>VARGEM BONITA</t>
  </si>
  <si>
    <t>ILHOTA</t>
  </si>
  <si>
    <t>BRAÇO DO NORTE</t>
  </si>
  <si>
    <t>PRESIDENTE GETÚLIO</t>
  </si>
  <si>
    <t>CORUPÁ</t>
  </si>
  <si>
    <t>SÃO BENTO DO SUL</t>
  </si>
  <si>
    <t>SANTA HELENA</t>
  </si>
  <si>
    <t>ORLEANS</t>
  </si>
  <si>
    <t>IBIAM</t>
  </si>
  <si>
    <t>CANOINHAS</t>
  </si>
  <si>
    <t>JAGUARUNA</t>
  </si>
  <si>
    <t>SÃO JOAQUIM</t>
  </si>
  <si>
    <t>PESCARIA BRAVA</t>
  </si>
  <si>
    <t>IBIRAMA</t>
  </si>
  <si>
    <t>SEARA</t>
  </si>
  <si>
    <t>DIONÍSIO CERQUEIRA</t>
  </si>
  <si>
    <t>COCAL DO SUL</t>
  </si>
  <si>
    <t>PALMITOS</t>
  </si>
  <si>
    <t>RIO DOS CEDROS</t>
  </si>
  <si>
    <t>XAXIM</t>
  </si>
  <si>
    <t>TREZE DE MAIO</t>
  </si>
  <si>
    <t>ARAQUARI</t>
  </si>
  <si>
    <t>IBICARÉ</t>
  </si>
  <si>
    <t>NOVA TRENTO</t>
  </si>
  <si>
    <t>PORTO BELO</t>
  </si>
  <si>
    <t>BRUNÓPOLIS</t>
  </si>
  <si>
    <t>ITAIÓPOLIS</t>
  </si>
  <si>
    <t>POUSO REDONDO</t>
  </si>
  <si>
    <t>LEBON RÉGIS</t>
  </si>
  <si>
    <t>SANTA TEREZINHA DO PROGRESSO</t>
  </si>
  <si>
    <t>GASPAR</t>
  </si>
  <si>
    <t>ITÁ</t>
  </si>
  <si>
    <t>LINDÓIA DO SUL</t>
  </si>
  <si>
    <t>ITAPOÁ</t>
  </si>
  <si>
    <t>GARUVA</t>
  </si>
  <si>
    <t>ÁGUAS FRIAS</t>
  </si>
  <si>
    <t>SANTA CECÍLIA</t>
  </si>
  <si>
    <t>PRESIDENTE NEREU</t>
  </si>
  <si>
    <t>GUARACIABA</t>
  </si>
  <si>
    <t>RIO RUFINO</t>
  </si>
  <si>
    <t>MONTE CASTELO</t>
  </si>
  <si>
    <t>LAURO MÜLLER</t>
  </si>
  <si>
    <t>JOSÉ BOITEUX</t>
  </si>
  <si>
    <t>CORDILHEIRA ALTA</t>
  </si>
  <si>
    <t>VITOR MEIRELES</t>
  </si>
  <si>
    <t>RODEIO</t>
  </si>
  <si>
    <t>PIRATUBA</t>
  </si>
  <si>
    <t>PARAÍSO</t>
  </si>
  <si>
    <t>MELEIRO</t>
  </si>
  <si>
    <t>CURITIBANOS</t>
  </si>
  <si>
    <t>NOVA ITABERABA</t>
  </si>
  <si>
    <t>SÃO LUDGERO</t>
  </si>
  <si>
    <t>LAJEADO GRANDE</t>
  </si>
  <si>
    <t>MAJOR GERCINO</t>
  </si>
  <si>
    <t>SÃO DOMINGOS</t>
  </si>
  <si>
    <t>BOCAINA DO SUL</t>
  </si>
  <si>
    <t>ANITA GARIBALDI</t>
  </si>
  <si>
    <t>OTACÍLIO COSTA</t>
  </si>
  <si>
    <t>ITUPORANGA</t>
  </si>
  <si>
    <t>JABORÁ</t>
  </si>
  <si>
    <t>URUBICI</t>
  </si>
  <si>
    <t>OURO VERDE</t>
  </si>
  <si>
    <t>TURVO</t>
  </si>
  <si>
    <t>SÃO BERNARDINO</t>
  </si>
  <si>
    <t>PETROLÂNDIA</t>
  </si>
  <si>
    <t>TREZE TÍLIAS</t>
  </si>
  <si>
    <t>NOVA ERECHIM</t>
  </si>
  <si>
    <t>TANGARÁ</t>
  </si>
  <si>
    <t>LUZERNA</t>
  </si>
  <si>
    <t>CAIBI</t>
  </si>
  <si>
    <t>CUNHA PORÃ</t>
  </si>
  <si>
    <t>JUPIÁ</t>
  </si>
  <si>
    <t>PASSO DE TORRES</t>
  </si>
  <si>
    <t>DOUTOR PEDRINHO</t>
  </si>
  <si>
    <t>DESCANSO</t>
  </si>
  <si>
    <t>ROMELÂNDIA</t>
  </si>
  <si>
    <t>CAPINZAL</t>
  </si>
  <si>
    <t>SÃO MARTINHO</t>
  </si>
  <si>
    <t>BOM JESUS</t>
  </si>
  <si>
    <t>SERRA ALTA</t>
  </si>
  <si>
    <t>BELMONTE</t>
  </si>
  <si>
    <t>PONTE SERRADA</t>
  </si>
  <si>
    <t>RIQUEZA</t>
  </si>
  <si>
    <t>PLANALTO ALEGRE</t>
  </si>
  <si>
    <t>IMBUIA</t>
  </si>
  <si>
    <t>NOVA VENEZA</t>
  </si>
  <si>
    <t>GRÃO PARÁ</t>
  </si>
  <si>
    <t>AGROLÂNDIA</t>
  </si>
  <si>
    <t>IPUMIRIM</t>
  </si>
  <si>
    <t>TREVISO</t>
  </si>
  <si>
    <t>SANTA TEREZINHA</t>
  </si>
  <si>
    <t>RIO DO CAMPO</t>
  </si>
  <si>
    <t>CAMPO ERÊ</t>
  </si>
  <si>
    <t>ALFREDO WAGNER</t>
  </si>
  <si>
    <t>RIO FORTUNA</t>
  </si>
  <si>
    <t>SÃO JOSÉ DO CEDRO</t>
  </si>
  <si>
    <t>ARROIO TRINTA</t>
  </si>
  <si>
    <t>GRAVATAL</t>
  </si>
  <si>
    <t>SCHROEDER</t>
  </si>
  <si>
    <t>PALMA SOLA</t>
  </si>
  <si>
    <t>IMARUÍ</t>
  </si>
  <si>
    <t>AGRONÔMICA</t>
  </si>
  <si>
    <t>PALMEIRA</t>
  </si>
  <si>
    <t>GUABIRUBA</t>
  </si>
  <si>
    <t>BOM JESUS DO OESTE</t>
  </si>
  <si>
    <t>LUIZ ALVES</t>
  </si>
  <si>
    <t>CORONEL FREITAS</t>
  </si>
  <si>
    <t>IPIRA</t>
  </si>
  <si>
    <t>RANCHO QUEIMADO</t>
  </si>
  <si>
    <t>BENEDITO NOVO</t>
  </si>
  <si>
    <t>IRINEÓPOLIS</t>
  </si>
  <si>
    <t>PAINEL</t>
  </si>
  <si>
    <t>LAURENTINO</t>
  </si>
  <si>
    <t>TIMBÉ DO SUL</t>
  </si>
  <si>
    <t>ÁGUAS MORNAS</t>
  </si>
  <si>
    <t>DONA EMMA</t>
  </si>
  <si>
    <t>FLOR DO SERTÃO</t>
  </si>
  <si>
    <t>JACINTO MACHADO</t>
  </si>
  <si>
    <t>IPORÃ DO OESTE</t>
  </si>
  <si>
    <t>LONTRAS</t>
  </si>
  <si>
    <t>MASSARANDUBA</t>
  </si>
  <si>
    <t>IRACEMINHA</t>
  </si>
  <si>
    <t>CORREIA PINTO</t>
  </si>
  <si>
    <t>ANTÔNIO CARLOS</t>
  </si>
  <si>
    <t>TAIÓ</t>
  </si>
  <si>
    <t>SÃO PEDRO DE ALCÂNTARA</t>
  </si>
  <si>
    <t>SALETE</t>
  </si>
  <si>
    <t>PERITIBA</t>
  </si>
  <si>
    <t>WITMARSUM</t>
  </si>
  <si>
    <t>SÃO BONIFÁCIO</t>
  </si>
  <si>
    <t>ITAPIRANGA</t>
  </si>
  <si>
    <t>MARACAJÁ</t>
  </si>
  <si>
    <t>ATALANTA</t>
  </si>
  <si>
    <t>BANDEIRANTE</t>
  </si>
  <si>
    <t>CANELINHA</t>
  </si>
  <si>
    <t>OURO</t>
  </si>
  <si>
    <t>TIGRINHOS</t>
  </si>
  <si>
    <t>ARMAZÉM</t>
  </si>
  <si>
    <t>IPUAÇU</t>
  </si>
  <si>
    <t>CUNHATAÍ</t>
  </si>
  <si>
    <t>VARGEÃO</t>
  </si>
  <si>
    <t>PAIAL</t>
  </si>
  <si>
    <t>PRAIA GRANDE</t>
  </si>
  <si>
    <t>SÃO MIGUEL DA BOA VISTA</t>
  </si>
  <si>
    <t>APIÚNA</t>
  </si>
  <si>
    <t>MAJOR VIEIRA</t>
  </si>
  <si>
    <t>TUNÁPOLIS</t>
  </si>
  <si>
    <t>CAXAMBU DO SUL</t>
  </si>
  <si>
    <t>IRATI</t>
  </si>
  <si>
    <t>ASCURRA</t>
  </si>
  <si>
    <t>SÃO JOÃO DO OESTE</t>
  </si>
  <si>
    <t>TROMBUDO CENTRAL</t>
  </si>
  <si>
    <t>LEOBERTO LEAL</t>
  </si>
  <si>
    <t>SÃO JOÃO DO SUL</t>
  </si>
  <si>
    <t>GALVÃO</t>
  </si>
  <si>
    <t>MODELO</t>
  </si>
  <si>
    <t>SÃO JOSÉ DO CERRITO</t>
  </si>
  <si>
    <t>QUILOMBO</t>
  </si>
  <si>
    <t>PEDRAS GRANDES</t>
  </si>
  <si>
    <t>SAUDADES</t>
  </si>
  <si>
    <t>PONTE ALTA</t>
  </si>
  <si>
    <t>ARABUTÃ</t>
  </si>
  <si>
    <t>ANCHIETA</t>
  </si>
  <si>
    <t>BOTUVERÁ</t>
  </si>
  <si>
    <t>CERRO NEGRO</t>
  </si>
  <si>
    <t>BARRA BONITA</t>
  </si>
  <si>
    <t>ZORTÉA</t>
  </si>
  <si>
    <t>ANITÁPOLIS</t>
  </si>
  <si>
    <t>MACIEIRA</t>
  </si>
  <si>
    <t>LACERDÓPOLIS</t>
  </si>
  <si>
    <t>ANGELINA</t>
  </si>
  <si>
    <t>PASSOS MAIA</t>
  </si>
  <si>
    <t>ERMO</t>
  </si>
  <si>
    <t>CORONEL MARTINS</t>
  </si>
  <si>
    <t>SUL BRASIL</t>
  </si>
  <si>
    <t>JARDINÓPOLIS</t>
  </si>
  <si>
    <t>CAPÃO ALTO</t>
  </si>
  <si>
    <t>SALTINHO</t>
  </si>
  <si>
    <t>BOM JARDIM DA SERRA</t>
  </si>
  <si>
    <t>PRESIDENTE CASTELLO BRANCO</t>
  </si>
  <si>
    <t>PRINCESA</t>
  </si>
  <si>
    <t>SALTO VELOSO</t>
  </si>
  <si>
    <t>CHAPADÃO DO LAGEADO</t>
  </si>
  <si>
    <t>NOVO HORIZONTE</t>
  </si>
  <si>
    <t>XAVANTINA</t>
  </si>
  <si>
    <t>SÃO JOÃO DO ITAPERIÚ</t>
  </si>
  <si>
    <t>VARGEM</t>
  </si>
  <si>
    <t>IOMERÊ</t>
  </si>
  <si>
    <t>MORRO GRANDE</t>
  </si>
  <si>
    <t>ERVAL VELHO</t>
  </si>
  <si>
    <t>PONTE ALTA DO NORTE</t>
  </si>
  <si>
    <t>SANTA ROSA DE LIMA</t>
  </si>
  <si>
    <t>MAREMA</t>
  </si>
  <si>
    <t>AURORA</t>
  </si>
  <si>
    <t>SANTIAGO DO SUL</t>
  </si>
  <si>
    <t>ABDON BATISTA</t>
  </si>
  <si>
    <t>MATOS COSTA</t>
  </si>
  <si>
    <t>FORMOSA DO SUL</t>
  </si>
  <si>
    <t>FREI ROGÉRIO</t>
  </si>
  <si>
    <t>ARVOREDO</t>
  </si>
  <si>
    <t>UNIÃO DO OESTE</t>
  </si>
  <si>
    <t>CELSO RAMOS</t>
  </si>
  <si>
    <t>ALTO BELA VISTA</t>
  </si>
  <si>
    <t>BRAÇO DO TROMBUDO</t>
  </si>
  <si>
    <t>-</t>
  </si>
  <si>
    <t>População Total</t>
  </si>
  <si>
    <t xml:space="preserve">População Masculino </t>
  </si>
  <si>
    <t>População Feminina</t>
  </si>
  <si>
    <t>Média de Fatos Comunicados Ano</t>
  </si>
  <si>
    <t>Por Mil Hab Fem</t>
  </si>
  <si>
    <t>% Mulher Vitima</t>
  </si>
  <si>
    <t>Alfabetização Total</t>
  </si>
  <si>
    <t>IDEB MED 2021</t>
  </si>
  <si>
    <t>IDEB MED 2023</t>
  </si>
  <si>
    <t>IDEB Anos Inc 2021</t>
  </si>
  <si>
    <t>IDEB Anos Inc 2023</t>
  </si>
  <si>
    <t>IDEB Anos Fim 2021</t>
  </si>
  <si>
    <t>IDEB Anos Fim 2023</t>
  </si>
  <si>
    <t>Total Geral</t>
  </si>
  <si>
    <t>Associação</t>
  </si>
  <si>
    <t>AMAI</t>
  </si>
  <si>
    <t>AMARP</t>
  </si>
  <si>
    <t>AMAUC</t>
  </si>
  <si>
    <t>AMAVI</t>
  </si>
  <si>
    <t>AMEOSC</t>
  </si>
  <si>
    <t>AMERIOS</t>
  </si>
  <si>
    <t>AMESC</t>
  </si>
  <si>
    <t>AMFRI</t>
  </si>
  <si>
    <t>AMMOC</t>
  </si>
  <si>
    <t>AMNOROESTE</t>
  </si>
  <si>
    <t>AMOSC</t>
  </si>
  <si>
    <t>AMPLANORTE</t>
  </si>
  <si>
    <t>AMPLASC</t>
  </si>
  <si>
    <t>AMREG</t>
  </si>
  <si>
    <t>AMUNESC</t>
  </si>
  <si>
    <t>AMURC</t>
  </si>
  <si>
    <t>AMUREL</t>
  </si>
  <si>
    <t>AMURES</t>
  </si>
  <si>
    <t>AMVALI</t>
  </si>
  <si>
    <t>AMVE</t>
  </si>
  <si>
    <t>GRANDPOLIS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</si>
</sst>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.0#############E+###"/>
    <numFmt numFmtId="165" formatCode="0.0000"/>
    <numFmt numFmtId="166" formatCode="0.0"/>
  </numFmts>
  <fonts count="1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</font>
    <font>
      <sz val="11"/>
      <color theme="1"/>
      <name val="Calibri"/>
    </font>
    <font>
      <b/>
      <sz val="11"/>
      <color theme="1"/>
      <name val="Calibri"/>
      <scheme val="minor"/>
    </font>
    <font>
      <b/>
      <sz val="11"/>
      <color theme="1"/>
      <name val="Calibri"/>
    </font>
    <font>
      <b/>
      <sz val="9"/>
      <color theme="1"/>
      <name val="Arial"/>
    </font>
    <font>
      <sz val="11"/>
      <color theme="1"/>
      <name val="Calibri"/>
      <scheme val="minor"/>
    </font>
    <font>
      <sz val="8"/>
      <name val="Calibri"/>
      <scheme val="minor"/>
    </font>
    <font>
      <sz val="11"/>
      <color rgb="FF333333"/>
      <name val="PT Sans"/>
      <family val="2"/>
    </font>
  </fonts>
  <fills count="6">
    <fill>
      <patternFill patternType="none"/>
    </fill>
    <fill>
      <patternFill patternType="gray125"/>
    </fill>
    <fill>
      <patternFill patternType="solid">
        <fgColor rgb="FF0070C0"/>
        <bgColor rgb="FF0070C0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</fills>
  <borders count="1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165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right"/>
    </xf>
    <xf numFmtId="0" fontId="3" fillId="3" borderId="2" xfId="0" applyFont="1" applyFill="1" applyBorder="1" applyAlignment="1">
      <alignment horizontal="right"/>
    </xf>
    <xf numFmtId="165" fontId="3" fillId="3" borderId="2" xfId="0" applyNumberFormat="1" applyFont="1" applyFill="1" applyBorder="1" applyAlignment="1">
      <alignment horizontal="right"/>
    </xf>
    <xf numFmtId="10" fontId="3" fillId="3" borderId="2" xfId="0" applyNumberFormat="1" applyFont="1" applyFill="1" applyBorder="1" applyAlignment="1">
      <alignment horizontal="right"/>
    </xf>
    <xf numFmtId="166" fontId="6" fillId="5" borderId="5" xfId="0" applyNumberFormat="1" applyFont="1" applyFill="1" applyBorder="1" applyAlignment="1">
      <alignment horizontal="right"/>
    </xf>
    <xf numFmtId="166" fontId="6" fillId="5" borderId="6" xfId="0" applyNumberFormat="1" applyFont="1" applyFill="1" applyBorder="1" applyAlignment="1">
      <alignment horizontal="right"/>
    </xf>
    <xf numFmtId="0" fontId="7" fillId="3" borderId="2" xfId="0" applyFont="1" applyFill="1" applyBorder="1"/>
    <xf numFmtId="166" fontId="6" fillId="5" borderId="0" xfId="0" applyNumberFormat="1" applyFont="1" applyFill="1" applyAlignment="1">
      <alignment horizontal="right"/>
    </xf>
    <xf numFmtId="165" fontId="7" fillId="3" borderId="2" xfId="0" applyNumberFormat="1" applyFont="1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7" xfId="0" pivotButton="1" applyBorder="1"/>
    <xf numFmtId="0" fontId="1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Jonathan Artmann" refreshedDate="46034.943966782404" refreshedVersion="8" recordCount="295" xr:uid="{00000000-000A-0000-FFFF-FFFF00000000}">
  <cacheSource type="worksheet">
    <worksheetSource ref="A1:B296" sheet="VD"/>
  </cacheSource>
  <cacheFields count="2">
    <cacheField name="Município" numFmtId="0">
      <sharedItems count="295">
        <s v="ABDON BATISTA"/>
        <s v="ABELARDO LUZ"/>
        <s v="AGROLÂNDIA"/>
        <s v="AGRONÔMICA"/>
        <s v="ÁGUA DOCE"/>
        <s v="ÁGUAS DE CHAPECÓ"/>
        <s v="ÁGUAS FRIAS"/>
        <s v="ÁGUAS MORNAS"/>
        <s v="ALFREDO WAGNER"/>
        <s v="ALTO BELA VISTA"/>
        <s v="ANCHIETA"/>
        <s v="ANGELINA"/>
        <s v="ANITA GARIBALDI"/>
        <s v="ANITÁPOLIS"/>
        <s v="ANTÔNIO CARLOS"/>
        <s v="APIÚNA"/>
        <s v="ARABUTÃ"/>
        <s v="ARAQUARI"/>
        <s v="ARARANGUÁ"/>
        <s v="ARMAZÉM"/>
        <s v="ARROIO TRINTA"/>
        <s v="ARVOREDO"/>
        <s v="ASCURRA"/>
        <s v="ATALANTA"/>
        <s v="AURORA"/>
        <s v="BALNEÁRIO ARROIO DO SILVA"/>
        <s v="BALNEÁRIO BARRA DO SUL"/>
        <s v="BALNEÁRIO CAMBORIÚ"/>
        <s v="BALNEÁRIO GAIVOTA"/>
        <s v="BALNEÁRIO PIÇARRAS"/>
        <s v="BALNEÁRIO RINCÃO"/>
        <s v="BANDEIRANTE"/>
        <s v="BARRA BONITA"/>
        <s v="BARRA VELHA"/>
        <s v="BELA VISTA DO TOLDO"/>
        <s v="BELMONTE"/>
        <s v="BENEDITO NOVO"/>
        <s v="BIGUAÇU"/>
        <s v="BLUMENAU"/>
        <s v="BOCAINA DO SUL"/>
        <s v="BOM JARDIM DA SERRA"/>
        <s v="BOM JESUS"/>
        <s v="BOM JESUS DO OESTE"/>
        <s v="BOM RETIRO"/>
        <s v="BOMBINHAS"/>
        <s v="BOTUVERÁ"/>
        <s v="BRAÇO DO NORTE"/>
        <s v="BRAÇO DO TROMBUDO"/>
        <s v="BRUNÓPOLIS"/>
        <s v="BRUSQUE"/>
        <s v="CAÇADOR"/>
        <s v="CAIBI"/>
        <s v="CALMON"/>
        <s v="CAMBORIÚ"/>
        <s v="CAMPO ALEGRE"/>
        <s v="CAMPO BELO DO SUL"/>
        <s v="CAMPO ERÊ"/>
        <s v="CAMPOS NOVOS"/>
        <s v="CANELINHA"/>
        <s v="CANOINHAS"/>
        <s v="CAPÃO ALTO"/>
        <s v="CAPINZAL"/>
        <s v="CAPIVARI DE BAIXO"/>
        <s v="CATANDUVAS"/>
        <s v="CAXAMBU DO SUL"/>
        <s v="CELSO RAMOS"/>
        <s v="CERRO NEGRO"/>
        <s v="CHAPADÃO DO LAGEADO"/>
        <s v="CHAPECÓ"/>
        <s v="COCAL DO SUL"/>
        <s v="CONCÓRDIA"/>
        <s v="CORDILHEIRA ALTA"/>
        <s v="CORONEL FREITAS"/>
        <s v="CORONEL MARTINS"/>
        <s v="CORREIA PINTO"/>
        <s v="CORUPÁ"/>
        <s v="CRICIÚMA"/>
        <s v="CUNHA PORÃ"/>
        <s v="CUNHATAÍ"/>
        <s v="CURITIBANOS"/>
        <s v="DESCANSO"/>
        <s v="DIONÍSIO CERQUEIRA"/>
        <s v="DONA EMMA"/>
        <s v="DOUTOR PEDRINHO"/>
        <s v="ENTRE RIOS"/>
        <s v="ERMO"/>
        <s v="ERVAL VELHO"/>
        <s v="FAXINAL DOS GUEDES"/>
        <s v="FLOR DO SERTÃO"/>
        <s v="FLORIANÓPOLIS"/>
        <s v="FORMOSA DO SUL"/>
        <s v="FORQUILHINHA"/>
        <s v="FRAIBURGO"/>
        <s v="FREI ROGÉRIO"/>
        <s v="GALVÃO"/>
        <s v="GAROPABA"/>
        <s v="GARUVA"/>
        <s v="GASPAR"/>
        <s v="GOVERNADOR CELSO RAMOS"/>
        <s v="GRÃO PARÁ"/>
        <s v="GRAVATAL"/>
        <s v="GUABIRUBA"/>
        <s v="GUARACIABA"/>
        <s v="GUARAMIRIM"/>
        <s v="GUARUJÁ DO SUL"/>
        <s v="GUATAMBÚ"/>
        <s v="HERVAL D´OESTE"/>
        <s v="IBIAM"/>
        <s v="IBICARÉ"/>
        <s v="IBIRAMA"/>
        <s v="IÇARA"/>
        <s v="ILHOTA"/>
        <s v="IMARUÍ"/>
        <s v="IMBITUBA"/>
        <s v="IMBUIA"/>
        <s v="INDAIAL"/>
        <s v="IOMERÊ"/>
        <s v="IPIRA"/>
        <s v="IPORÃ DO OESTE"/>
        <s v="IPUAÇU"/>
        <s v="IPUMIRIM"/>
        <s v="IRACEMINHA"/>
        <s v="IRANI"/>
        <s v="IRATI"/>
        <s v="IRINEÓPOLIS"/>
        <s v="ITÁ"/>
        <s v="ITAIÓPOLIS"/>
        <s v="ITAJAÍ"/>
        <s v="ITAPEMA"/>
        <s v="ITAPIRANGA"/>
        <s v="ITAPOÁ"/>
        <s v="ITUPORANGA"/>
        <s v="JABORÁ"/>
        <s v="JACINTO MACHADO"/>
        <s v="JAGUARUNA"/>
        <s v="JARAGUÁ DO SUL"/>
        <s v="JARDINÓPOLIS"/>
        <s v="JOAÇABA"/>
        <s v="JOINVILLE"/>
        <s v="JOSÉ BOITEUX"/>
        <s v="JUPIÁ"/>
        <s v="LACERDÓPOLIS"/>
        <s v="LAGES"/>
        <s v="LAGUNA"/>
        <s v="LAJEADO GRANDE"/>
        <s v="LAURENTINO"/>
        <s v="LAURO MÜLLER"/>
        <s v="LEBON RÉGIS"/>
        <s v="LEOBERTO LEAL"/>
        <s v="LINDÓIA DO SUL"/>
        <s v="LONTRAS"/>
        <s v="LUIZ ALVES"/>
        <s v="LUZERNA"/>
        <s v="MACIEIRA"/>
        <s v="MAFRA"/>
        <s v="MAJOR GERCINO"/>
        <s v="MAJOR VIEIRA"/>
        <s v="MARACAJÁ"/>
        <s v="MARAVILHA"/>
        <s v="MAREMA"/>
        <s v="MASSARANDUBA"/>
        <s v="MATOS COSTA"/>
        <s v="MELEIRO"/>
        <s v="MIRIM DOCE"/>
        <s v="MODELO"/>
        <s v="MONDAÍ"/>
        <s v="MONTE CARLO"/>
        <s v="MONTE CASTELO"/>
        <s v="MORRO DA FUMAÇA"/>
        <s v="MORRO GRANDE"/>
        <s v="NAVEGANTES"/>
        <s v="NOVA ERECHIM"/>
        <s v="NOVA ITABERABA"/>
        <s v="NOVA TRENTO"/>
        <s v="NOVA VENEZA"/>
        <s v="NOVO HORIZONTE"/>
        <s v="ORLEANS"/>
        <s v="OTACÍLIO COSTA"/>
        <s v="OURO"/>
        <s v="OURO VERDE"/>
        <s v="PAIAL"/>
        <s v="PAINEL"/>
        <s v="PALHOÇA"/>
        <s v="PALMA SOLA"/>
        <s v="PALMEIRA"/>
        <s v="PALMITOS"/>
        <s v="PAPANDUVA"/>
        <s v="PARAÍSO"/>
        <s v="PASSO DE TORRES"/>
        <s v="PASSOS MAIA"/>
        <s v="PAULO LOPES"/>
        <s v="PEDRAS GRANDES"/>
        <s v="PENHA"/>
        <s v="PERITIBA"/>
        <s v="PESCARIA BRAVA"/>
        <s v="PETROLÂNDIA"/>
        <s v="PINHALZINHO"/>
        <s v="PINHEIRO PRETO"/>
        <s v="PIRATUBA"/>
        <s v="PLANALTO ALEGRE"/>
        <s v="POMERODE"/>
        <s v="PONTE ALTA"/>
        <s v="PONTE ALTA DO NORTE"/>
        <s v="PONTE SERRADA"/>
        <s v="PORTO BELO"/>
        <s v="PORTO UNIÃO"/>
        <s v="POUSO REDONDO"/>
        <s v="PRAIA GRANDE"/>
        <s v="PRESIDENTE CASTELLO BRANCO"/>
        <s v="PRESIDENTE GETÚLIO"/>
        <s v="PRESIDENTE NEREU"/>
        <s v="PRINCESA"/>
        <s v="QUILOMBO"/>
        <s v="RANCHO QUEIMADO"/>
        <s v="RIO DAS ANTAS"/>
        <s v="RIO DO CAMPO"/>
        <s v="RIO DO OESTE"/>
        <s v="RIO DO SUL"/>
        <s v="RIO DOS CEDROS"/>
        <s v="RIO FORTUNA"/>
        <s v="RIO NEGRINHO"/>
        <s v="RIO RUFINO"/>
        <s v="RIQUEZA"/>
        <s v="RODEIO"/>
        <s v="ROMELÂNDIA"/>
        <s v="SALETE"/>
        <s v="SALTINHO"/>
        <s v="SALTO VELOSO"/>
        <s v="SANGÃO"/>
        <s v="SANTA CECÍLIA"/>
        <s v="SANTA HELENA"/>
        <s v="SANTA ROSA DE LIMA"/>
        <s v="SANTA ROSA DO SUL"/>
        <s v="SANTA TEREZINHA"/>
        <s v="SANTA TEREZINHA DO PROGRESSO"/>
        <s v="SANTIAGO DO SUL"/>
        <s v="SANTO AMARO DA IMPERATRIZ"/>
        <s v="SÃO BENTO DO SUL"/>
        <s v="SÃO BERNARDINO"/>
        <s v="SÃO BONIFÁCIO"/>
        <s v="SÃO CARLOS"/>
        <s v="SÃO CRISTOVÃO DO SUL"/>
        <s v="SÃO DOMINGOS"/>
        <s v="SÃO FRANCISCO DO SUL"/>
        <s v="SÃO JOÃO BATISTA"/>
        <s v="SÃO JOÃO DO ITAPERIÚ"/>
        <s v="SÃO JOÃO DO OESTE"/>
        <s v="SÃO JOÃO DO SUL"/>
        <s v="SÃO JOAQUIM"/>
        <s v="SÃO JOSÉ"/>
        <s v="SÃO JOSÉ DO CEDRO"/>
        <s v="SÃO JOSÉ DO CERRITO"/>
        <s v="SÃO LOURENÇO DO OESTE"/>
        <s v="SÃO LUDGERO"/>
        <s v="SÃO MARTINHO"/>
        <s v="SÃO MIGUEL DA BOA VISTA"/>
        <s v="SÃO MIGUEL DO OESTE"/>
        <s v="SÃO PEDRO DE ALCÂNTARA"/>
        <s v="SAUDADES"/>
        <s v="SCHROEDER"/>
        <s v="SEARA"/>
        <s v="SERRA ALTA"/>
        <s v="SIDERÓPOLIS"/>
        <s v="SOMBRIO"/>
        <s v="SUL BRASIL"/>
        <s v="TAIÓ"/>
        <s v="TANGARÁ"/>
        <s v="TIGRINHOS"/>
        <s v="TIJUCAS"/>
        <s v="TIMBÉ DO SUL"/>
        <s v="TIMBÓ"/>
        <s v="TIMBÓ GRANDE"/>
        <s v="TRÊS BARRAS"/>
        <s v="TREVISO"/>
        <s v="TREZE DE MAIO"/>
        <s v="TREZE TÍLIAS"/>
        <s v="TROMBUDO CENTRAL"/>
        <s v="TUBARÃO"/>
        <s v="TUNÁPOLIS"/>
        <s v="TURVO"/>
        <s v="UNIÃO DO OESTE"/>
        <s v="URUBICI"/>
        <s v="URUPEMA"/>
        <s v="URUSSANGA"/>
        <s v="VARGEÃO"/>
        <s v="VARGEM"/>
        <s v="VARGEM BONITA"/>
        <s v="VIDAL RAMOS"/>
        <s v="VIDEIRA"/>
        <s v="VITOR MEIRELES"/>
        <s v="WITMARSUM"/>
        <s v="XANXERÊ"/>
        <s v="XAVANTINA"/>
        <s v="XAXIM"/>
        <s v="ZORTÉA"/>
      </sharedItems>
    </cacheField>
    <cacheField name="Mesoregião" numFmtId="164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x v="0"/>
    <s v="Serrana"/>
  </r>
  <r>
    <x v="1"/>
    <s v="Oeste Catarinense"/>
  </r>
  <r>
    <x v="2"/>
    <s v="Vale do Itajaí"/>
  </r>
  <r>
    <x v="3"/>
    <s v="Vale do Itajaí"/>
  </r>
  <r>
    <x v="4"/>
    <s v="Oeste Catarinense"/>
  </r>
  <r>
    <x v="5"/>
    <s v="Oeste Catarinense"/>
  </r>
  <r>
    <x v="6"/>
    <s v="Oeste Catarinense"/>
  </r>
  <r>
    <x v="7"/>
    <s v="Grande Florianópolis"/>
  </r>
  <r>
    <x v="8"/>
    <s v="Grande Florianópolis"/>
  </r>
  <r>
    <x v="9"/>
    <s v="Oeste Catarinense"/>
  </r>
  <r>
    <x v="10"/>
    <s v="Oeste Catarinense"/>
  </r>
  <r>
    <x v="11"/>
    <s v="Grande Florianópolis"/>
  </r>
  <r>
    <x v="12"/>
    <s v="Serrana"/>
  </r>
  <r>
    <x v="13"/>
    <s v="Grande Florianópolis"/>
  </r>
  <r>
    <x v="14"/>
    <s v="Grande Florianópolis"/>
  </r>
  <r>
    <x v="15"/>
    <s v="Vale do Itajaí"/>
  </r>
  <r>
    <x v="16"/>
    <s v="Oeste Catarinense"/>
  </r>
  <r>
    <x v="17"/>
    <s v="Norte Catarinense"/>
  </r>
  <r>
    <x v="18"/>
    <s v="Sul Catarinense"/>
  </r>
  <r>
    <x v="19"/>
    <s v="Sul Catarinense"/>
  </r>
  <r>
    <x v="20"/>
    <s v="Oeste Catarinense"/>
  </r>
  <r>
    <x v="21"/>
    <s v="Oeste Catarinense"/>
  </r>
  <r>
    <x v="22"/>
    <s v="Vale do Itajaí"/>
  </r>
  <r>
    <x v="23"/>
    <s v="Vale do Itajaí"/>
  </r>
  <r>
    <x v="24"/>
    <s v="Vale do Itajaí"/>
  </r>
  <r>
    <x v="25"/>
    <s v="Sul Catarinense"/>
  </r>
  <r>
    <x v="26"/>
    <s v="Norte Catarinense"/>
  </r>
  <r>
    <x v="27"/>
    <s v="Vale do Itajaí"/>
  </r>
  <r>
    <x v="28"/>
    <s v="Sul Catarinense"/>
  </r>
  <r>
    <x v="29"/>
    <s v="Vale do Itajaí"/>
  </r>
  <r>
    <x v="30"/>
    <s v="Sul Catarinense"/>
  </r>
  <r>
    <x v="31"/>
    <s v="Oeste Catarinense"/>
  </r>
  <r>
    <x v="32"/>
    <s v="Oeste Catarinense"/>
  </r>
  <r>
    <x v="33"/>
    <s v="Vale do Itajaí"/>
  </r>
  <r>
    <x v="34"/>
    <s v="Norte Catarinense"/>
  </r>
  <r>
    <x v="35"/>
    <s v="Oeste Catarinense"/>
  </r>
  <r>
    <x v="36"/>
    <s v="Vale do Itajaí"/>
  </r>
  <r>
    <x v="37"/>
    <s v="Grande Florianópolis"/>
  </r>
  <r>
    <x v="38"/>
    <s v="Vale do Itajaí"/>
  </r>
  <r>
    <x v="39"/>
    <s v="Serrana"/>
  </r>
  <r>
    <x v="40"/>
    <s v="Serrana"/>
  </r>
  <r>
    <x v="41"/>
    <s v="Oeste Catarinense"/>
  </r>
  <r>
    <x v="42"/>
    <s v="Oeste Catarinense"/>
  </r>
  <r>
    <x v="43"/>
    <s v="Serrana"/>
  </r>
  <r>
    <x v="44"/>
    <s v="Vale do Itajaí"/>
  </r>
  <r>
    <x v="45"/>
    <s v="Vale do Itajaí"/>
  </r>
  <r>
    <x v="46"/>
    <s v="Sul Catarinense"/>
  </r>
  <r>
    <x v="47"/>
    <s v="Vale do Itajaí"/>
  </r>
  <r>
    <x v="48"/>
    <s v="Serrana"/>
  </r>
  <r>
    <x v="49"/>
    <s v="Vale do Itajaí"/>
  </r>
  <r>
    <x v="50"/>
    <s v="Oeste Catarinense"/>
  </r>
  <r>
    <x v="51"/>
    <s v="Oeste Catarinense"/>
  </r>
  <r>
    <x v="52"/>
    <s v="Oeste Catarinense"/>
  </r>
  <r>
    <x v="53"/>
    <s v="Vale do Itajaí"/>
  </r>
  <r>
    <x v="54"/>
    <s v="Norte Catarinense"/>
  </r>
  <r>
    <x v="55"/>
    <s v="Serrana"/>
  </r>
  <r>
    <x v="56"/>
    <s v="Oeste Catarinense"/>
  </r>
  <r>
    <x v="57"/>
    <s v="Serrana"/>
  </r>
  <r>
    <x v="58"/>
    <s v="Grande Florianópolis"/>
  </r>
  <r>
    <x v="59"/>
    <s v="Norte Catarinense"/>
  </r>
  <r>
    <x v="60"/>
    <s v="Serrana"/>
  </r>
  <r>
    <x v="61"/>
    <s v="Oeste Catarinense"/>
  </r>
  <r>
    <x v="62"/>
    <s v="Sul Catarinense"/>
  </r>
  <r>
    <x v="63"/>
    <s v="Oeste Catarinense"/>
  </r>
  <r>
    <x v="64"/>
    <s v="Oeste Catarinense"/>
  </r>
  <r>
    <x v="65"/>
    <s v="Serrana"/>
  </r>
  <r>
    <x v="66"/>
    <s v="Serrana"/>
  </r>
  <r>
    <x v="67"/>
    <s v="Vale do Itajaí"/>
  </r>
  <r>
    <x v="68"/>
    <s v="Oeste Catarinense"/>
  </r>
  <r>
    <x v="69"/>
    <s v="Sul Catarinense"/>
  </r>
  <r>
    <x v="70"/>
    <s v="Oeste Catarinense"/>
  </r>
  <r>
    <x v="71"/>
    <s v="Oeste Catarinense"/>
  </r>
  <r>
    <x v="72"/>
    <s v="Oeste Catarinense"/>
  </r>
  <r>
    <x v="73"/>
    <s v="Oeste Catarinense"/>
  </r>
  <r>
    <x v="74"/>
    <s v="Serrana"/>
  </r>
  <r>
    <x v="75"/>
    <s v="Norte Catarinense"/>
  </r>
  <r>
    <x v="76"/>
    <s v="Sul Catarinense"/>
  </r>
  <r>
    <x v="77"/>
    <s v="Oeste Catarinense"/>
  </r>
  <r>
    <x v="78"/>
    <s v="Oeste Catarinense"/>
  </r>
  <r>
    <x v="79"/>
    <s v="Serrana"/>
  </r>
  <r>
    <x v="80"/>
    <s v="Oeste Catarinense"/>
  </r>
  <r>
    <x v="81"/>
    <s v="Oeste Catarinense"/>
  </r>
  <r>
    <x v="82"/>
    <s v="Vale do Itajaí"/>
  </r>
  <r>
    <x v="83"/>
    <s v="Vale do Itajaí"/>
  </r>
  <r>
    <x v="84"/>
    <s v="Oeste Catarinense"/>
  </r>
  <r>
    <x v="85"/>
    <s v="Sul Catarinense"/>
  </r>
  <r>
    <x v="86"/>
    <s v="Oeste Catarinense"/>
  </r>
  <r>
    <x v="87"/>
    <s v="Oeste Catarinense"/>
  </r>
  <r>
    <x v="88"/>
    <s v="Oeste Catarinense"/>
  </r>
  <r>
    <x v="89"/>
    <s v="Grande Florianópolis"/>
  </r>
  <r>
    <x v="90"/>
    <s v="Oeste Catarinense"/>
  </r>
  <r>
    <x v="91"/>
    <s v="Sul Catarinense"/>
  </r>
  <r>
    <x v="92"/>
    <s v="Oeste Catarinense"/>
  </r>
  <r>
    <x v="93"/>
    <s v="Serrana"/>
  </r>
  <r>
    <x v="94"/>
    <s v="Oeste Catarinense"/>
  </r>
  <r>
    <x v="95"/>
    <s v="Sul Catarinense"/>
  </r>
  <r>
    <x v="96"/>
    <s v="Norte Catarinense"/>
  </r>
  <r>
    <x v="97"/>
    <s v="Vale do Itajaí"/>
  </r>
  <r>
    <x v="98"/>
    <s v="Grande Florianópolis"/>
  </r>
  <r>
    <x v="99"/>
    <s v="Sul Catarinense"/>
  </r>
  <r>
    <x v="100"/>
    <s v="Sul Catarinense"/>
  </r>
  <r>
    <x v="101"/>
    <s v="Vale do Itajaí"/>
  </r>
  <r>
    <x v="102"/>
    <s v="Oeste Catarinense"/>
  </r>
  <r>
    <x v="103"/>
    <s v="Norte Catarinense"/>
  </r>
  <r>
    <x v="104"/>
    <s v="Oeste Catarinense"/>
  </r>
  <r>
    <x v="105"/>
    <s v="Oeste Catarinense"/>
  </r>
  <r>
    <x v="106"/>
    <s v="Oeste Catarinense"/>
  </r>
  <r>
    <x v="107"/>
    <s v="Oeste Catarinense"/>
  </r>
  <r>
    <x v="108"/>
    <s v="Oeste Catarinense"/>
  </r>
  <r>
    <x v="109"/>
    <s v="Vale do Itajaí"/>
  </r>
  <r>
    <x v="110"/>
    <s v="Sul Catarinense"/>
  </r>
  <r>
    <x v="111"/>
    <s v="Vale do Itajaí"/>
  </r>
  <r>
    <x v="112"/>
    <s v="Sul Catarinense"/>
  </r>
  <r>
    <x v="113"/>
    <s v="Sul Catarinense"/>
  </r>
  <r>
    <x v="114"/>
    <s v="Vale do Itajaí"/>
  </r>
  <r>
    <x v="115"/>
    <s v="Vale do Itajaí"/>
  </r>
  <r>
    <x v="116"/>
    <s v="Oeste Catarinense"/>
  </r>
  <r>
    <x v="117"/>
    <s v="Oeste Catarinense"/>
  </r>
  <r>
    <x v="118"/>
    <s v="Oeste Catarinense"/>
  </r>
  <r>
    <x v="119"/>
    <s v="Oeste Catarinense"/>
  </r>
  <r>
    <x v="120"/>
    <s v="Oeste Catarinense"/>
  </r>
  <r>
    <x v="121"/>
    <s v="Oeste Catarinense"/>
  </r>
  <r>
    <x v="122"/>
    <s v="Oeste Catarinense"/>
  </r>
  <r>
    <x v="123"/>
    <s v="Oeste Catarinense"/>
  </r>
  <r>
    <x v="124"/>
    <s v="Norte Catarinense"/>
  </r>
  <r>
    <x v="125"/>
    <s v="Oeste Catarinense"/>
  </r>
  <r>
    <x v="126"/>
    <s v="Norte Catarinense"/>
  </r>
  <r>
    <x v="127"/>
    <s v="Vale do Itajaí"/>
  </r>
  <r>
    <x v="128"/>
    <s v="Vale do Itajaí"/>
  </r>
  <r>
    <x v="129"/>
    <s v="Oeste Catarinense"/>
  </r>
  <r>
    <x v="130"/>
    <s v="Norte Catarinense"/>
  </r>
  <r>
    <x v="131"/>
    <s v="Vale do Itajaí"/>
  </r>
  <r>
    <x v="132"/>
    <s v="Oeste Catarinense"/>
  </r>
  <r>
    <x v="133"/>
    <s v="Sul Catarinense"/>
  </r>
  <r>
    <x v="134"/>
    <s v="Sul Catarinense"/>
  </r>
  <r>
    <x v="135"/>
    <s v="Norte Catarinense"/>
  </r>
  <r>
    <x v="136"/>
    <s v="Oeste Catarinense"/>
  </r>
  <r>
    <x v="137"/>
    <s v="Oeste Catarinense"/>
  </r>
  <r>
    <x v="138"/>
    <s v="Norte Catarinense"/>
  </r>
  <r>
    <x v="139"/>
    <s v="Vale do Itajaí"/>
  </r>
  <r>
    <x v="140"/>
    <s v="Oeste Catarinense"/>
  </r>
  <r>
    <x v="141"/>
    <s v="Oeste Catarinense"/>
  </r>
  <r>
    <x v="142"/>
    <s v="Serrana"/>
  </r>
  <r>
    <x v="143"/>
    <s v="Sul Catarinense"/>
  </r>
  <r>
    <x v="144"/>
    <s v="Oeste Catarinense"/>
  </r>
  <r>
    <x v="145"/>
    <s v="Vale do Itajaí"/>
  </r>
  <r>
    <x v="146"/>
    <s v="Sul Catarinense"/>
  </r>
  <r>
    <x v="147"/>
    <s v="Oeste Catarinense"/>
  </r>
  <r>
    <x v="148"/>
    <s v="Grande Florianópolis"/>
  </r>
  <r>
    <x v="149"/>
    <s v="Oeste Catarinense"/>
  </r>
  <r>
    <x v="150"/>
    <s v="Vale do Itajaí"/>
  </r>
  <r>
    <x v="151"/>
    <s v="Vale do Itajaí"/>
  </r>
  <r>
    <x v="152"/>
    <s v="Oeste Catarinense"/>
  </r>
  <r>
    <x v="153"/>
    <s v="Oeste Catarinense"/>
  </r>
  <r>
    <x v="154"/>
    <s v="Norte Catarinense"/>
  </r>
  <r>
    <x v="155"/>
    <s v="Grande Florianópolis"/>
  </r>
  <r>
    <x v="156"/>
    <s v="Norte Catarinense"/>
  </r>
  <r>
    <x v="157"/>
    <s v="Sul Catarinense"/>
  </r>
  <r>
    <x v="158"/>
    <s v="Oeste Catarinense"/>
  </r>
  <r>
    <x v="159"/>
    <s v="Oeste Catarinense"/>
  </r>
  <r>
    <x v="160"/>
    <s v="Norte Catarinense"/>
  </r>
  <r>
    <x v="161"/>
    <s v="Oeste Catarinense"/>
  </r>
  <r>
    <x v="162"/>
    <s v="Sul Catarinense"/>
  </r>
  <r>
    <x v="163"/>
    <s v="Vale do Itajaí"/>
  </r>
  <r>
    <x v="164"/>
    <s v="Oeste Catarinense"/>
  </r>
  <r>
    <x v="165"/>
    <s v="Oeste Catarinense"/>
  </r>
  <r>
    <x v="166"/>
    <s v="Serrana"/>
  </r>
  <r>
    <x v="167"/>
    <s v="Norte Catarinense"/>
  </r>
  <r>
    <x v="168"/>
    <s v="Sul Catarinense"/>
  </r>
  <r>
    <x v="169"/>
    <s v="Sul Catarinense"/>
  </r>
  <r>
    <x v="170"/>
    <s v="Vale do Itajaí"/>
  </r>
  <r>
    <x v="171"/>
    <s v="Oeste Catarinense"/>
  </r>
  <r>
    <x v="172"/>
    <s v="Oeste Catarinense"/>
  </r>
  <r>
    <x v="173"/>
    <s v="Grande Florianópolis"/>
  </r>
  <r>
    <x v="174"/>
    <s v="Sul Catarinense"/>
  </r>
  <r>
    <x v="175"/>
    <s v="Oeste Catarinense"/>
  </r>
  <r>
    <x v="176"/>
    <s v="Sul Catarinense"/>
  </r>
  <r>
    <x v="177"/>
    <s v="Serrana"/>
  </r>
  <r>
    <x v="178"/>
    <s v="Oeste Catarinense"/>
  </r>
  <r>
    <x v="179"/>
    <s v="Oeste Catarinense"/>
  </r>
  <r>
    <x v="180"/>
    <s v="Oeste Catarinense"/>
  </r>
  <r>
    <x v="181"/>
    <s v="Serrana"/>
  </r>
  <r>
    <x v="182"/>
    <s v="Grande Florianópolis"/>
  </r>
  <r>
    <x v="183"/>
    <s v="Oeste Catarinense"/>
  </r>
  <r>
    <x v="184"/>
    <s v="Serrana"/>
  </r>
  <r>
    <x v="185"/>
    <s v="Oeste Catarinense"/>
  </r>
  <r>
    <x v="186"/>
    <s v="Norte Catarinense"/>
  </r>
  <r>
    <x v="187"/>
    <s v="Oeste Catarinense"/>
  </r>
  <r>
    <x v="188"/>
    <s v="Sul Catarinense"/>
  </r>
  <r>
    <x v="189"/>
    <s v="Oeste Catarinense"/>
  </r>
  <r>
    <x v="190"/>
    <s v="Grande Florianópolis"/>
  </r>
  <r>
    <x v="191"/>
    <s v="Sul Catarinense"/>
  </r>
  <r>
    <x v="192"/>
    <s v="Vale do Itajaí"/>
  </r>
  <r>
    <x v="193"/>
    <s v="Oeste Catarinense"/>
  </r>
  <r>
    <x v="194"/>
    <s v="Sul Catarinense"/>
  </r>
  <r>
    <x v="195"/>
    <s v="Vale do Itajaí"/>
  </r>
  <r>
    <x v="196"/>
    <s v="Oeste Catarinense"/>
  </r>
  <r>
    <x v="197"/>
    <s v="Oeste Catarinense"/>
  </r>
  <r>
    <x v="198"/>
    <s v="Oeste Catarinense"/>
  </r>
  <r>
    <x v="199"/>
    <s v="Oeste Catarinense"/>
  </r>
  <r>
    <x v="200"/>
    <s v="Vale do Itajaí"/>
  </r>
  <r>
    <x v="201"/>
    <s v="Serrana"/>
  </r>
  <r>
    <x v="202"/>
    <s v="Serrana"/>
  </r>
  <r>
    <x v="203"/>
    <s v="Oeste Catarinense"/>
  </r>
  <r>
    <x v="204"/>
    <s v="Vale do Itajaí"/>
  </r>
  <r>
    <x v="205"/>
    <s v="Norte Catarinense"/>
  </r>
  <r>
    <x v="206"/>
    <s v="Vale do Itajaí"/>
  </r>
  <r>
    <x v="207"/>
    <s v="Sul Catarinense"/>
  </r>
  <r>
    <x v="208"/>
    <s v="Oeste Catarinense"/>
  </r>
  <r>
    <x v="209"/>
    <s v="Vale do Itajaí"/>
  </r>
  <r>
    <x v="210"/>
    <s v="Vale do Itajaí"/>
  </r>
  <r>
    <x v="211"/>
    <s v="Oeste Catarinense"/>
  </r>
  <r>
    <x v="212"/>
    <s v="Oeste Catarinense"/>
  </r>
  <r>
    <x v="213"/>
    <s v="Grande Florianópolis"/>
  </r>
  <r>
    <x v="214"/>
    <s v="Oeste Catarinense"/>
  </r>
  <r>
    <x v="215"/>
    <s v="Vale do Itajaí"/>
  </r>
  <r>
    <x v="216"/>
    <s v="Vale do Itajaí"/>
  </r>
  <r>
    <x v="217"/>
    <s v="Vale do Itajaí"/>
  </r>
  <r>
    <x v="218"/>
    <s v="Vale do Itajaí"/>
  </r>
  <r>
    <x v="219"/>
    <s v="Sul Catarinense"/>
  </r>
  <r>
    <x v="220"/>
    <s v="Norte Catarinense"/>
  </r>
  <r>
    <x v="221"/>
    <s v="Serrana"/>
  </r>
  <r>
    <x v="222"/>
    <s v="Oeste Catarinense"/>
  </r>
  <r>
    <x v="223"/>
    <s v="Vale do Itajaí"/>
  </r>
  <r>
    <x v="224"/>
    <s v="Oeste Catarinense"/>
  </r>
  <r>
    <x v="225"/>
    <s v="Vale do Itajaí"/>
  </r>
  <r>
    <x v="226"/>
    <s v="Oeste Catarinense"/>
  </r>
  <r>
    <x v="227"/>
    <s v="Oeste Catarinense"/>
  </r>
  <r>
    <x v="228"/>
    <s v="Sul Catarinense"/>
  </r>
  <r>
    <x v="229"/>
    <s v="Serrana"/>
  </r>
  <r>
    <x v="230"/>
    <s v="Oeste Catarinense"/>
  </r>
  <r>
    <x v="231"/>
    <s v="Sul Catarinense"/>
  </r>
  <r>
    <x v="232"/>
    <s v="Sul Catarinense"/>
  </r>
  <r>
    <x v="233"/>
    <s v="Norte Catarinense"/>
  </r>
  <r>
    <x v="234"/>
    <s v="Oeste Catarinense"/>
  </r>
  <r>
    <x v="235"/>
    <s v="Oeste Catarinense"/>
  </r>
  <r>
    <x v="236"/>
    <s v="Grande Florianópolis"/>
  </r>
  <r>
    <x v="237"/>
    <s v="Norte Catarinense"/>
  </r>
  <r>
    <x v="238"/>
    <s v="Oeste Catarinense"/>
  </r>
  <r>
    <x v="239"/>
    <s v="Grande Florianópolis"/>
  </r>
  <r>
    <x v="240"/>
    <s v="Oeste Catarinense"/>
  </r>
  <r>
    <x v="241"/>
    <s v="Serrana"/>
  </r>
  <r>
    <x v="242"/>
    <s v="Oeste Catarinense"/>
  </r>
  <r>
    <x v="243"/>
    <s v="Norte Catarinense"/>
  </r>
  <r>
    <x v="244"/>
    <s v="Grande Florianópolis"/>
  </r>
  <r>
    <x v="245"/>
    <s v="Vale do Itajaí"/>
  </r>
  <r>
    <x v="246"/>
    <s v="Oeste Catarinense"/>
  </r>
  <r>
    <x v="247"/>
    <s v="Sul Catarinense"/>
  </r>
  <r>
    <x v="248"/>
    <s v="Serrana"/>
  </r>
  <r>
    <x v="249"/>
    <s v="Grande Florianópolis"/>
  </r>
  <r>
    <x v="250"/>
    <s v="Oeste Catarinense"/>
  </r>
  <r>
    <x v="251"/>
    <s v="Serrana"/>
  </r>
  <r>
    <x v="252"/>
    <s v="Oeste Catarinense"/>
  </r>
  <r>
    <x v="253"/>
    <s v="Sul Catarinense"/>
  </r>
  <r>
    <x v="254"/>
    <s v="Sul Catarinense"/>
  </r>
  <r>
    <x v="255"/>
    <s v="Oeste Catarinense"/>
  </r>
  <r>
    <x v="256"/>
    <s v="Oeste Catarinense"/>
  </r>
  <r>
    <x v="257"/>
    <s v="Grande Florianópolis"/>
  </r>
  <r>
    <x v="258"/>
    <s v="Oeste Catarinense"/>
  </r>
  <r>
    <x v="259"/>
    <s v="Norte Catarinense"/>
  </r>
  <r>
    <x v="260"/>
    <s v="Oeste Catarinense"/>
  </r>
  <r>
    <x v="261"/>
    <s v="Oeste Catarinense"/>
  </r>
  <r>
    <x v="262"/>
    <s v="Sul Catarinense"/>
  </r>
  <r>
    <x v="263"/>
    <s v="Sul Catarinense"/>
  </r>
  <r>
    <x v="264"/>
    <s v="Oeste Catarinense"/>
  </r>
  <r>
    <x v="265"/>
    <s v="Vale do Itajaí"/>
  </r>
  <r>
    <x v="266"/>
    <s v="Oeste Catarinense"/>
  </r>
  <r>
    <x v="267"/>
    <s v="Oeste Catarinense"/>
  </r>
  <r>
    <x v="268"/>
    <s v="Grande Florianópolis"/>
  </r>
  <r>
    <x v="269"/>
    <s v="Sul Catarinense"/>
  </r>
  <r>
    <x v="270"/>
    <s v="Vale do Itajaí"/>
  </r>
  <r>
    <x v="271"/>
    <s v="Norte Catarinense"/>
  </r>
  <r>
    <x v="272"/>
    <s v="Norte Catarinense"/>
  </r>
  <r>
    <x v="273"/>
    <s v="Sul Catarinense"/>
  </r>
  <r>
    <x v="274"/>
    <s v="Sul Catarinense"/>
  </r>
  <r>
    <x v="275"/>
    <s v="Oeste Catarinense"/>
  </r>
  <r>
    <x v="276"/>
    <s v="Vale do Itajaí"/>
  </r>
  <r>
    <x v="277"/>
    <s v="Sul Catarinense"/>
  </r>
  <r>
    <x v="278"/>
    <s v="Oeste Catarinense"/>
  </r>
  <r>
    <x v="279"/>
    <s v="Sul Catarinense"/>
  </r>
  <r>
    <x v="280"/>
    <s v="Oeste Catarinense"/>
  </r>
  <r>
    <x v="281"/>
    <s v="Serrana"/>
  </r>
  <r>
    <x v="282"/>
    <s v="Serrana"/>
  </r>
  <r>
    <x v="283"/>
    <s v="Sul Catarinense"/>
  </r>
  <r>
    <x v="284"/>
    <s v="Oeste Catarinense"/>
  </r>
  <r>
    <x v="285"/>
    <s v="Serrana"/>
  </r>
  <r>
    <x v="286"/>
    <s v="Oeste Catarinense"/>
  </r>
  <r>
    <x v="287"/>
    <s v="Vale do Itajaí"/>
  </r>
  <r>
    <x v="288"/>
    <s v="Oeste Catarinense"/>
  </r>
  <r>
    <x v="289"/>
    <s v="Vale do Itajaí"/>
  </r>
  <r>
    <x v="290"/>
    <s v="Vale do Itajaí"/>
  </r>
  <r>
    <x v="291"/>
    <s v="Oeste Catarinense"/>
  </r>
  <r>
    <x v="292"/>
    <s v="Oeste Catarinense"/>
  </r>
  <r>
    <x v="293"/>
    <s v="Oeste Catarinense"/>
  </r>
  <r>
    <x v="294"/>
    <s v="Serran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" cacheId="4" applyNumberFormats="0" applyBorderFormats="0" applyFontFormats="0" applyPatternFormats="0" applyAlignmentFormats="0" applyWidthHeightFormats="0" dataCaption="" updatedVersion="8" compact="0" compactData="0">
  <location ref="A1:A297" firstHeaderRow="1" firstDataRow="1" firstDataCol="1"/>
  <pivotFields count="2">
    <pivotField name="Município" axis="axisRow" compact="0" outline="0" multipleItemSelectionAllowed="1" showAll="0" sortType="ascending">
      <items count="2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t="default"/>
      </items>
    </pivotField>
    <pivotField name="Mesoregião" compact="0" numFmtId="164" outline="0" multipleItemSelectionAllowed="1" showAll="0"/>
  </pivotFields>
  <rowFields count="1">
    <field x="0"/>
  </rowFields>
  <rowItems count="29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 t="grand">
      <x/>
    </i>
  </rowItems>
  <colItems count="1">
    <i/>
  </colItem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6"/>
  <sheetViews>
    <sheetView tabSelected="1" workbookViewId="0">
      <pane ySplit="1" topLeftCell="A271" activePane="bottomLeft" state="frozen"/>
      <selection pane="bottomLeft" activeCell="C254" sqref="C254"/>
    </sheetView>
  </sheetViews>
  <sheetFormatPr defaultColWidth="14.42578125" defaultRowHeight="15" customHeight="1" x14ac:dyDescent="0.25"/>
  <cols>
    <col min="1" max="1" width="32" customWidth="1"/>
    <col min="2" max="2" width="19.7109375" bestFit="1" customWidth="1"/>
    <col min="3" max="3" width="15.140625" bestFit="1" customWidth="1"/>
  </cols>
  <sheetData>
    <row r="1" spans="1:3" ht="19.5" customHeight="1" x14ac:dyDescent="0.25">
      <c r="A1" s="1" t="s">
        <v>0</v>
      </c>
      <c r="B1" s="2" t="s">
        <v>1</v>
      </c>
      <c r="C1" s="2" t="s">
        <v>318</v>
      </c>
    </row>
    <row r="2" spans="1:3" x14ac:dyDescent="0.25">
      <c r="A2" s="3" t="s">
        <v>294</v>
      </c>
      <c r="B2" s="4" t="s">
        <v>28</v>
      </c>
      <c r="C2" t="s">
        <v>319</v>
      </c>
    </row>
    <row r="3" spans="1:3" x14ac:dyDescent="0.25">
      <c r="A3" s="3" t="s">
        <v>94</v>
      </c>
      <c r="B3" s="4" t="s">
        <v>3</v>
      </c>
      <c r="C3" t="s">
        <v>331</v>
      </c>
    </row>
    <row r="4" spans="1:3" x14ac:dyDescent="0.25">
      <c r="A4" s="3" t="s">
        <v>186</v>
      </c>
      <c r="B4" s="4" t="s">
        <v>5</v>
      </c>
      <c r="C4" t="s">
        <v>322</v>
      </c>
    </row>
    <row r="5" spans="1:3" x14ac:dyDescent="0.25">
      <c r="A5" s="3" t="s">
        <v>200</v>
      </c>
      <c r="B5" s="4" t="s">
        <v>5</v>
      </c>
      <c r="C5" t="s">
        <v>322</v>
      </c>
    </row>
    <row r="6" spans="1:3" x14ac:dyDescent="0.25">
      <c r="A6" s="3" t="s">
        <v>42</v>
      </c>
      <c r="B6" s="4" t="s">
        <v>3</v>
      </c>
      <c r="C6" t="s">
        <v>327</v>
      </c>
    </row>
    <row r="7" spans="1:3" x14ac:dyDescent="0.25">
      <c r="A7" s="3" t="s">
        <v>29</v>
      </c>
      <c r="B7" s="4" t="s">
        <v>3</v>
      </c>
      <c r="C7" t="s">
        <v>329</v>
      </c>
    </row>
    <row r="8" spans="1:3" x14ac:dyDescent="0.25">
      <c r="A8" s="3" t="s">
        <v>134</v>
      </c>
      <c r="B8" s="4" t="s">
        <v>3</v>
      </c>
      <c r="C8" t="s">
        <v>329</v>
      </c>
    </row>
    <row r="9" spans="1:3" x14ac:dyDescent="0.25">
      <c r="A9" s="3" t="s">
        <v>213</v>
      </c>
      <c r="B9" s="4" t="s">
        <v>8</v>
      </c>
      <c r="C9" s="24" t="s">
        <v>339</v>
      </c>
    </row>
    <row r="10" spans="1:3" x14ac:dyDescent="0.25">
      <c r="A10" s="3" t="s">
        <v>192</v>
      </c>
      <c r="B10" s="4" t="s">
        <v>8</v>
      </c>
      <c r="C10" s="24" t="s">
        <v>339</v>
      </c>
    </row>
    <row r="11" spans="1:3" x14ac:dyDescent="0.25">
      <c r="A11" s="3" t="s">
        <v>301</v>
      </c>
      <c r="B11" s="4" t="s">
        <v>3</v>
      </c>
      <c r="C11" t="s">
        <v>321</v>
      </c>
    </row>
    <row r="12" spans="1:3" x14ac:dyDescent="0.25">
      <c r="A12" s="3" t="s">
        <v>261</v>
      </c>
      <c r="B12" s="4" t="s">
        <v>3</v>
      </c>
      <c r="C12" t="s">
        <v>323</v>
      </c>
    </row>
    <row r="13" spans="1:3" x14ac:dyDescent="0.25">
      <c r="A13" s="3" t="s">
        <v>269</v>
      </c>
      <c r="B13" s="4" t="s">
        <v>8</v>
      </c>
      <c r="C13" s="24" t="s">
        <v>339</v>
      </c>
    </row>
    <row r="14" spans="1:3" x14ac:dyDescent="0.25">
      <c r="A14" s="3" t="s">
        <v>155</v>
      </c>
      <c r="B14" s="4" t="s">
        <v>28</v>
      </c>
      <c r="C14" t="s">
        <v>336</v>
      </c>
    </row>
    <row r="15" spans="1:3" x14ac:dyDescent="0.25">
      <c r="A15" s="3" t="s">
        <v>266</v>
      </c>
      <c r="B15" s="4" t="s">
        <v>8</v>
      </c>
      <c r="C15" s="24" t="s">
        <v>339</v>
      </c>
    </row>
    <row r="16" spans="1:3" x14ac:dyDescent="0.25">
      <c r="A16" s="3" t="s">
        <v>222</v>
      </c>
      <c r="B16" s="4" t="s">
        <v>8</v>
      </c>
      <c r="C16" s="24" t="s">
        <v>339</v>
      </c>
    </row>
    <row r="17" spans="1:3" x14ac:dyDescent="0.25">
      <c r="A17" s="3" t="s">
        <v>243</v>
      </c>
      <c r="B17" s="4" t="s">
        <v>5</v>
      </c>
      <c r="C17" s="24" t="s">
        <v>338</v>
      </c>
    </row>
    <row r="18" spans="1:3" x14ac:dyDescent="0.25">
      <c r="A18" s="3" t="s">
        <v>260</v>
      </c>
      <c r="B18" s="4" t="s">
        <v>3</v>
      </c>
      <c r="C18" t="s">
        <v>321</v>
      </c>
    </row>
    <row r="19" spans="1:3" x14ac:dyDescent="0.25">
      <c r="A19" s="3" t="s">
        <v>120</v>
      </c>
      <c r="B19" s="4" t="s">
        <v>11</v>
      </c>
      <c r="C19" t="s">
        <v>333</v>
      </c>
    </row>
    <row r="20" spans="1:3" x14ac:dyDescent="0.25">
      <c r="A20" s="3" t="s">
        <v>17</v>
      </c>
      <c r="B20" s="4" t="s">
        <v>18</v>
      </c>
      <c r="C20" t="s">
        <v>325</v>
      </c>
    </row>
    <row r="21" spans="1:3" ht="15.75" customHeight="1" x14ac:dyDescent="0.25">
      <c r="A21" s="3" t="s">
        <v>236</v>
      </c>
      <c r="B21" s="4" t="s">
        <v>18</v>
      </c>
      <c r="C21" t="s">
        <v>335</v>
      </c>
    </row>
    <row r="22" spans="1:3" ht="15.75" customHeight="1" x14ac:dyDescent="0.25">
      <c r="A22" s="3" t="s">
        <v>195</v>
      </c>
      <c r="B22" s="4" t="s">
        <v>3</v>
      </c>
      <c r="C22" t="s">
        <v>320</v>
      </c>
    </row>
    <row r="23" spans="1:3" ht="15.75" customHeight="1" x14ac:dyDescent="0.25">
      <c r="A23" s="3" t="s">
        <v>298</v>
      </c>
      <c r="B23" s="4" t="s">
        <v>3</v>
      </c>
      <c r="C23" t="s">
        <v>329</v>
      </c>
    </row>
    <row r="24" spans="1:3" ht="15.75" customHeight="1" x14ac:dyDescent="0.25">
      <c r="A24" s="3" t="s">
        <v>248</v>
      </c>
      <c r="B24" s="4" t="s">
        <v>5</v>
      </c>
      <c r="C24" s="24" t="s">
        <v>338</v>
      </c>
    </row>
    <row r="25" spans="1:3" ht="15.75" customHeight="1" x14ac:dyDescent="0.25">
      <c r="A25" s="3" t="s">
        <v>231</v>
      </c>
      <c r="B25" s="4" t="s">
        <v>5</v>
      </c>
      <c r="C25" t="s">
        <v>322</v>
      </c>
    </row>
    <row r="26" spans="1:3" ht="15.75" customHeight="1" x14ac:dyDescent="0.25">
      <c r="A26" s="3" t="s">
        <v>292</v>
      </c>
      <c r="B26" s="4" t="s">
        <v>5</v>
      </c>
      <c r="C26" t="s">
        <v>322</v>
      </c>
    </row>
    <row r="27" spans="1:3" ht="15.75" customHeight="1" x14ac:dyDescent="0.25">
      <c r="A27" s="3" t="s">
        <v>47</v>
      </c>
      <c r="B27" s="4" t="s">
        <v>18</v>
      </c>
      <c r="C27" t="s">
        <v>325</v>
      </c>
    </row>
    <row r="28" spans="1:3" ht="15.75" customHeight="1" x14ac:dyDescent="0.25">
      <c r="A28" s="3" t="s">
        <v>90</v>
      </c>
      <c r="B28" s="4" t="s">
        <v>11</v>
      </c>
      <c r="C28" t="s">
        <v>333</v>
      </c>
    </row>
    <row r="29" spans="1:3" ht="15.75" customHeight="1" x14ac:dyDescent="0.25">
      <c r="A29" s="3" t="s">
        <v>40</v>
      </c>
      <c r="B29" s="4" t="s">
        <v>5</v>
      </c>
      <c r="C29" t="s">
        <v>326</v>
      </c>
    </row>
    <row r="30" spans="1:3" ht="15.75" customHeight="1" x14ac:dyDescent="0.25">
      <c r="A30" s="3" t="s">
        <v>88</v>
      </c>
      <c r="B30" s="4" t="s">
        <v>18</v>
      </c>
      <c r="C30" t="s">
        <v>325</v>
      </c>
    </row>
    <row r="31" spans="1:3" ht="15.75" customHeight="1" x14ac:dyDescent="0.25">
      <c r="A31" s="3" t="s">
        <v>75</v>
      </c>
      <c r="B31" s="4" t="s">
        <v>5</v>
      </c>
      <c r="C31" t="s">
        <v>326</v>
      </c>
    </row>
    <row r="32" spans="1:3" ht="15.75" customHeight="1" x14ac:dyDescent="0.25">
      <c r="A32" s="3" t="s">
        <v>31</v>
      </c>
      <c r="B32" s="4" t="s">
        <v>18</v>
      </c>
      <c r="C32" t="s">
        <v>332</v>
      </c>
    </row>
    <row r="33" spans="1:3" ht="15.75" customHeight="1" x14ac:dyDescent="0.25">
      <c r="A33" s="3" t="s">
        <v>232</v>
      </c>
      <c r="B33" s="4" t="s">
        <v>3</v>
      </c>
      <c r="C33" t="s">
        <v>323</v>
      </c>
    </row>
    <row r="34" spans="1:3" ht="15.75" customHeight="1" x14ac:dyDescent="0.25">
      <c r="A34" s="3" t="s">
        <v>264</v>
      </c>
      <c r="B34" s="4" t="s">
        <v>3</v>
      </c>
      <c r="C34" t="s">
        <v>323</v>
      </c>
    </row>
    <row r="35" spans="1:3" ht="15.75" customHeight="1" x14ac:dyDescent="0.25">
      <c r="A35" s="3" t="s">
        <v>6</v>
      </c>
      <c r="B35" s="4" t="s">
        <v>5</v>
      </c>
      <c r="C35" t="s">
        <v>337</v>
      </c>
    </row>
    <row r="36" spans="1:3" ht="15.75" customHeight="1" x14ac:dyDescent="0.25">
      <c r="A36" s="3" t="s">
        <v>92</v>
      </c>
      <c r="B36" s="4" t="s">
        <v>11</v>
      </c>
      <c r="C36" t="s">
        <v>330</v>
      </c>
    </row>
    <row r="37" spans="1:3" ht="15.75" customHeight="1" x14ac:dyDescent="0.25">
      <c r="A37" s="3" t="s">
        <v>179</v>
      </c>
      <c r="B37" s="4" t="s">
        <v>3</v>
      </c>
      <c r="C37" t="s">
        <v>323</v>
      </c>
    </row>
    <row r="38" spans="1:3" ht="15.75" customHeight="1" x14ac:dyDescent="0.25">
      <c r="A38" s="3" t="s">
        <v>208</v>
      </c>
      <c r="B38" s="4" t="s">
        <v>5</v>
      </c>
      <c r="C38" s="24" t="s">
        <v>338</v>
      </c>
    </row>
    <row r="39" spans="1:3" ht="15.75" customHeight="1" x14ac:dyDescent="0.25">
      <c r="A39" s="3" t="s">
        <v>93</v>
      </c>
      <c r="B39" s="4" t="s">
        <v>8</v>
      </c>
      <c r="C39" s="24" t="s">
        <v>339</v>
      </c>
    </row>
    <row r="40" spans="1:3" ht="15.75" customHeight="1" x14ac:dyDescent="0.25">
      <c r="A40" s="3" t="s">
        <v>4</v>
      </c>
      <c r="B40" s="4" t="s">
        <v>5</v>
      </c>
      <c r="C40" s="24" t="s">
        <v>338</v>
      </c>
    </row>
    <row r="41" spans="1:3" ht="15.75" customHeight="1" x14ac:dyDescent="0.25">
      <c r="A41" s="3" t="s">
        <v>154</v>
      </c>
      <c r="B41" s="4" t="s">
        <v>28</v>
      </c>
      <c r="C41" t="s">
        <v>336</v>
      </c>
    </row>
    <row r="42" spans="1:3" ht="15.75" customHeight="1" x14ac:dyDescent="0.25">
      <c r="A42" s="3" t="s">
        <v>277</v>
      </c>
      <c r="B42" s="4" t="s">
        <v>28</v>
      </c>
      <c r="C42" t="s">
        <v>336</v>
      </c>
    </row>
    <row r="43" spans="1:3" ht="15.75" customHeight="1" x14ac:dyDescent="0.25">
      <c r="A43" s="3" t="s">
        <v>177</v>
      </c>
      <c r="B43" s="4" t="s">
        <v>3</v>
      </c>
      <c r="C43" t="s">
        <v>319</v>
      </c>
    </row>
    <row r="44" spans="1:3" ht="15.75" customHeight="1" x14ac:dyDescent="0.25">
      <c r="A44" s="3" t="s">
        <v>203</v>
      </c>
      <c r="B44" s="4" t="s">
        <v>3</v>
      </c>
      <c r="C44" t="s">
        <v>324</v>
      </c>
    </row>
    <row r="45" spans="1:3" ht="15.75" customHeight="1" x14ac:dyDescent="0.25">
      <c r="A45" s="3" t="s">
        <v>60</v>
      </c>
      <c r="B45" s="4" t="s">
        <v>28</v>
      </c>
      <c r="C45" t="s">
        <v>336</v>
      </c>
    </row>
    <row r="46" spans="1:3" ht="15.75" customHeight="1" x14ac:dyDescent="0.25">
      <c r="A46" s="3" t="s">
        <v>69</v>
      </c>
      <c r="B46" s="4" t="s">
        <v>5</v>
      </c>
      <c r="C46" t="s">
        <v>326</v>
      </c>
    </row>
    <row r="47" spans="1:3" ht="15.75" customHeight="1" x14ac:dyDescent="0.25">
      <c r="A47" s="3" t="s">
        <v>262</v>
      </c>
      <c r="B47" s="4" t="s">
        <v>5</v>
      </c>
      <c r="C47" s="24" t="s">
        <v>338</v>
      </c>
    </row>
    <row r="48" spans="1:3" ht="15.75" customHeight="1" x14ac:dyDescent="0.25">
      <c r="A48" s="3" t="s">
        <v>101</v>
      </c>
      <c r="B48" s="4" t="s">
        <v>18</v>
      </c>
      <c r="C48" t="s">
        <v>335</v>
      </c>
    </row>
    <row r="49" spans="1:3" ht="15.75" customHeight="1" x14ac:dyDescent="0.25">
      <c r="A49" s="3" t="s">
        <v>302</v>
      </c>
      <c r="B49" s="4" t="s">
        <v>5</v>
      </c>
      <c r="C49" t="s">
        <v>322</v>
      </c>
    </row>
    <row r="50" spans="1:3" ht="15.75" customHeight="1" x14ac:dyDescent="0.25">
      <c r="A50" s="3" t="s">
        <v>124</v>
      </c>
      <c r="B50" s="4" t="s">
        <v>28</v>
      </c>
      <c r="C50" t="s">
        <v>331</v>
      </c>
    </row>
    <row r="51" spans="1:3" ht="15.75" customHeight="1" x14ac:dyDescent="0.25">
      <c r="A51" s="3" t="s">
        <v>33</v>
      </c>
      <c r="B51" s="4" t="s">
        <v>5</v>
      </c>
      <c r="C51" s="24" t="s">
        <v>338</v>
      </c>
    </row>
    <row r="52" spans="1:3" ht="15.75" customHeight="1" x14ac:dyDescent="0.25">
      <c r="A52" s="3" t="s">
        <v>15</v>
      </c>
      <c r="B52" s="4" t="s">
        <v>3</v>
      </c>
      <c r="C52" t="s">
        <v>320</v>
      </c>
    </row>
    <row r="53" spans="1:3" ht="15.75" customHeight="1" x14ac:dyDescent="0.25">
      <c r="A53" s="3" t="s">
        <v>168</v>
      </c>
      <c r="B53" s="4" t="s">
        <v>3</v>
      </c>
      <c r="C53" t="s">
        <v>324</v>
      </c>
    </row>
    <row r="54" spans="1:3" ht="15.75" customHeight="1" x14ac:dyDescent="0.25">
      <c r="A54" s="3" t="s">
        <v>89</v>
      </c>
      <c r="B54" s="4" t="s">
        <v>3</v>
      </c>
      <c r="C54" t="s">
        <v>320</v>
      </c>
    </row>
    <row r="55" spans="1:3" ht="15.75" customHeight="1" x14ac:dyDescent="0.25">
      <c r="A55" s="3" t="s">
        <v>12</v>
      </c>
      <c r="B55" s="4" t="s">
        <v>5</v>
      </c>
      <c r="C55" t="s">
        <v>326</v>
      </c>
    </row>
    <row r="56" spans="1:3" ht="15.75" customHeight="1" x14ac:dyDescent="0.25">
      <c r="A56" s="3" t="s">
        <v>76</v>
      </c>
      <c r="B56" s="4" t="s">
        <v>11</v>
      </c>
      <c r="C56" t="s">
        <v>333</v>
      </c>
    </row>
    <row r="57" spans="1:3" ht="15.75" customHeight="1" x14ac:dyDescent="0.25">
      <c r="A57" s="3" t="s">
        <v>68</v>
      </c>
      <c r="B57" s="4" t="s">
        <v>28</v>
      </c>
      <c r="C57" t="s">
        <v>336</v>
      </c>
    </row>
    <row r="58" spans="1:3" ht="15.75" customHeight="1" x14ac:dyDescent="0.25">
      <c r="A58" s="3" t="s">
        <v>191</v>
      </c>
      <c r="B58" s="4" t="s">
        <v>3</v>
      </c>
      <c r="C58" t="s">
        <v>324</v>
      </c>
    </row>
    <row r="59" spans="1:3" ht="15.75" customHeight="1" x14ac:dyDescent="0.25">
      <c r="A59" s="3" t="s">
        <v>78</v>
      </c>
      <c r="B59" s="4" t="s">
        <v>28</v>
      </c>
      <c r="C59" t="s">
        <v>331</v>
      </c>
    </row>
    <row r="60" spans="1:3" ht="15.75" customHeight="1" x14ac:dyDescent="0.25">
      <c r="A60" s="3" t="s">
        <v>233</v>
      </c>
      <c r="B60" s="4" t="s">
        <v>8</v>
      </c>
      <c r="C60" s="24" t="s">
        <v>339</v>
      </c>
    </row>
    <row r="61" spans="1:3" ht="15.75" customHeight="1" x14ac:dyDescent="0.25">
      <c r="A61" s="3" t="s">
        <v>108</v>
      </c>
      <c r="B61" s="4" t="s">
        <v>11</v>
      </c>
      <c r="C61" t="s">
        <v>330</v>
      </c>
    </row>
    <row r="62" spans="1:3" ht="15.75" customHeight="1" x14ac:dyDescent="0.25">
      <c r="A62" s="3" t="s">
        <v>275</v>
      </c>
      <c r="B62" s="4" t="s">
        <v>28</v>
      </c>
      <c r="C62" t="s">
        <v>336</v>
      </c>
    </row>
    <row r="63" spans="1:3" ht="15.75" customHeight="1" x14ac:dyDescent="0.25">
      <c r="A63" s="3" t="s">
        <v>175</v>
      </c>
      <c r="B63" s="4" t="s">
        <v>3</v>
      </c>
      <c r="C63" t="s">
        <v>327</v>
      </c>
    </row>
    <row r="64" spans="1:3" ht="15.75" customHeight="1" x14ac:dyDescent="0.25">
      <c r="A64" s="3" t="s">
        <v>80</v>
      </c>
      <c r="B64" s="4" t="s">
        <v>18</v>
      </c>
      <c r="C64" t="s">
        <v>335</v>
      </c>
    </row>
    <row r="65" spans="1:3" ht="15.75" customHeight="1" x14ac:dyDescent="0.25">
      <c r="A65" s="3" t="s">
        <v>13</v>
      </c>
      <c r="B65" s="4" t="s">
        <v>3</v>
      </c>
      <c r="C65" t="s">
        <v>327</v>
      </c>
    </row>
    <row r="66" spans="1:3" ht="15.75" customHeight="1" x14ac:dyDescent="0.25">
      <c r="A66" s="3" t="s">
        <v>246</v>
      </c>
      <c r="B66" s="4" t="s">
        <v>3</v>
      </c>
      <c r="C66" t="s">
        <v>329</v>
      </c>
    </row>
    <row r="67" spans="1:3" ht="15.75" customHeight="1" x14ac:dyDescent="0.25">
      <c r="A67" s="3" t="s">
        <v>300</v>
      </c>
      <c r="B67" s="4" t="s">
        <v>28</v>
      </c>
      <c r="C67" t="s">
        <v>331</v>
      </c>
    </row>
    <row r="68" spans="1:3" ht="15.75" customHeight="1" x14ac:dyDescent="0.25">
      <c r="A68" s="3" t="s">
        <v>263</v>
      </c>
      <c r="B68" s="4" t="s">
        <v>28</v>
      </c>
      <c r="C68" t="s">
        <v>336</v>
      </c>
    </row>
    <row r="69" spans="1:3" ht="15.75" customHeight="1" x14ac:dyDescent="0.25">
      <c r="A69" s="3" t="s">
        <v>281</v>
      </c>
      <c r="B69" s="4" t="s">
        <v>5</v>
      </c>
      <c r="C69" t="s">
        <v>322</v>
      </c>
    </row>
    <row r="70" spans="1:3" ht="15.75" customHeight="1" x14ac:dyDescent="0.25">
      <c r="A70" s="3" t="s">
        <v>2</v>
      </c>
      <c r="B70" s="4" t="s">
        <v>3</v>
      </c>
      <c r="C70" t="s">
        <v>329</v>
      </c>
    </row>
    <row r="71" spans="1:3" ht="15.75" customHeight="1" x14ac:dyDescent="0.25">
      <c r="A71" s="3" t="s">
        <v>115</v>
      </c>
      <c r="B71" s="4" t="s">
        <v>18</v>
      </c>
      <c r="C71" t="s">
        <v>332</v>
      </c>
    </row>
    <row r="72" spans="1:3" ht="15.75" customHeight="1" x14ac:dyDescent="0.25">
      <c r="A72" s="3" t="s">
        <v>51</v>
      </c>
      <c r="B72" s="4" t="s">
        <v>3</v>
      </c>
      <c r="C72" t="s">
        <v>321</v>
      </c>
    </row>
    <row r="73" spans="1:3" ht="15.75" customHeight="1" x14ac:dyDescent="0.25">
      <c r="A73" s="3" t="s">
        <v>142</v>
      </c>
      <c r="B73" s="4" t="s">
        <v>3</v>
      </c>
      <c r="C73" t="s">
        <v>329</v>
      </c>
    </row>
    <row r="74" spans="1:3" ht="15.75" customHeight="1" x14ac:dyDescent="0.25">
      <c r="A74" s="3" t="s">
        <v>205</v>
      </c>
      <c r="B74" s="4" t="s">
        <v>3</v>
      </c>
      <c r="C74" t="s">
        <v>329</v>
      </c>
    </row>
    <row r="75" spans="1:3" ht="15.75" customHeight="1" x14ac:dyDescent="0.25">
      <c r="A75" s="3" t="s">
        <v>272</v>
      </c>
      <c r="B75" s="4" t="s">
        <v>3</v>
      </c>
      <c r="C75" t="s">
        <v>328</v>
      </c>
    </row>
    <row r="76" spans="1:3" ht="15.75" customHeight="1" x14ac:dyDescent="0.25">
      <c r="A76" s="3" t="s">
        <v>221</v>
      </c>
      <c r="B76" s="4" t="s">
        <v>28</v>
      </c>
      <c r="C76" t="s">
        <v>336</v>
      </c>
    </row>
    <row r="77" spans="1:3" ht="15.75" customHeight="1" x14ac:dyDescent="0.25">
      <c r="A77" s="3" t="s">
        <v>103</v>
      </c>
      <c r="B77" s="4" t="s">
        <v>11</v>
      </c>
      <c r="C77" t="s">
        <v>337</v>
      </c>
    </row>
    <row r="78" spans="1:3" ht="15.75" customHeight="1" x14ac:dyDescent="0.25">
      <c r="A78" s="3" t="s">
        <v>22</v>
      </c>
      <c r="B78" s="4" t="s">
        <v>18</v>
      </c>
      <c r="C78" t="s">
        <v>332</v>
      </c>
    </row>
    <row r="79" spans="1:3" ht="15.75" customHeight="1" x14ac:dyDescent="0.25">
      <c r="A79" s="3" t="s">
        <v>169</v>
      </c>
      <c r="B79" s="4" t="s">
        <v>3</v>
      </c>
      <c r="C79" t="s">
        <v>324</v>
      </c>
    </row>
    <row r="80" spans="1:3" ht="15.75" customHeight="1" x14ac:dyDescent="0.25">
      <c r="A80" s="3" t="s">
        <v>238</v>
      </c>
      <c r="B80" s="4" t="s">
        <v>3</v>
      </c>
      <c r="C80" t="s">
        <v>324</v>
      </c>
    </row>
    <row r="81" spans="1:3" ht="15.75" customHeight="1" x14ac:dyDescent="0.25">
      <c r="A81" s="3" t="s">
        <v>148</v>
      </c>
      <c r="B81" s="4" t="s">
        <v>28</v>
      </c>
      <c r="C81" t="s">
        <v>334</v>
      </c>
    </row>
    <row r="82" spans="1:3" ht="15.75" customHeight="1" x14ac:dyDescent="0.25">
      <c r="A82" s="3" t="s">
        <v>173</v>
      </c>
      <c r="B82" s="4" t="s">
        <v>3</v>
      </c>
      <c r="C82" t="s">
        <v>323</v>
      </c>
    </row>
    <row r="83" spans="1:3" ht="15.75" customHeight="1" x14ac:dyDescent="0.25">
      <c r="A83" s="3" t="s">
        <v>114</v>
      </c>
      <c r="B83" s="4" t="s">
        <v>3</v>
      </c>
      <c r="C83" t="s">
        <v>323</v>
      </c>
    </row>
    <row r="84" spans="1:3" ht="15.75" customHeight="1" x14ac:dyDescent="0.25">
      <c r="A84" s="3" t="s">
        <v>214</v>
      </c>
      <c r="B84" s="4" t="s">
        <v>5</v>
      </c>
      <c r="C84" t="s">
        <v>322</v>
      </c>
    </row>
    <row r="85" spans="1:3" ht="15.75" customHeight="1" x14ac:dyDescent="0.25">
      <c r="A85" s="3" t="s">
        <v>172</v>
      </c>
      <c r="B85" s="4" t="s">
        <v>5</v>
      </c>
      <c r="C85" s="24" t="s">
        <v>338</v>
      </c>
    </row>
    <row r="86" spans="1:3" ht="15.75" customHeight="1" x14ac:dyDescent="0.25">
      <c r="A86" s="3" t="s">
        <v>32</v>
      </c>
      <c r="B86" s="4" t="s">
        <v>3</v>
      </c>
      <c r="C86" t="s">
        <v>319</v>
      </c>
    </row>
    <row r="87" spans="1:3" ht="15.75" customHeight="1" x14ac:dyDescent="0.25">
      <c r="A87" s="3" t="s">
        <v>271</v>
      </c>
      <c r="B87" s="4" t="s">
        <v>18</v>
      </c>
      <c r="C87" t="s">
        <v>325</v>
      </c>
    </row>
    <row r="88" spans="1:3" ht="15.75" customHeight="1" x14ac:dyDescent="0.25">
      <c r="A88" s="3" t="s">
        <v>288</v>
      </c>
      <c r="B88" s="4" t="s">
        <v>3</v>
      </c>
      <c r="C88" t="s">
        <v>327</v>
      </c>
    </row>
    <row r="89" spans="1:3" ht="15.75" customHeight="1" x14ac:dyDescent="0.25">
      <c r="A89" s="3" t="s">
        <v>48</v>
      </c>
      <c r="B89" s="4" t="s">
        <v>3</v>
      </c>
      <c r="C89" t="s">
        <v>319</v>
      </c>
    </row>
    <row r="90" spans="1:3" ht="15.75" customHeight="1" x14ac:dyDescent="0.25">
      <c r="A90" s="3" t="s">
        <v>215</v>
      </c>
      <c r="B90" s="4" t="s">
        <v>3</v>
      </c>
      <c r="C90" t="s">
        <v>324</v>
      </c>
    </row>
    <row r="91" spans="1:3" ht="15.75" customHeight="1" x14ac:dyDescent="0.25">
      <c r="A91" s="3" t="s">
        <v>7</v>
      </c>
      <c r="B91" s="4" t="s">
        <v>8</v>
      </c>
      <c r="C91" s="24" t="s">
        <v>339</v>
      </c>
    </row>
    <row r="92" spans="1:3" ht="15.75" customHeight="1" x14ac:dyDescent="0.25">
      <c r="A92" s="3" t="s">
        <v>296</v>
      </c>
      <c r="B92" s="4" t="s">
        <v>3</v>
      </c>
      <c r="C92" t="s">
        <v>329</v>
      </c>
    </row>
    <row r="93" spans="1:3" ht="15.75" customHeight="1" x14ac:dyDescent="0.25">
      <c r="A93" s="3" t="s">
        <v>26</v>
      </c>
      <c r="B93" s="4" t="s">
        <v>18</v>
      </c>
      <c r="C93" t="s">
        <v>332</v>
      </c>
    </row>
    <row r="94" spans="1:3" ht="15.75" customHeight="1" x14ac:dyDescent="0.25">
      <c r="A94" s="3" t="s">
        <v>59</v>
      </c>
      <c r="B94" s="4" t="s">
        <v>3</v>
      </c>
      <c r="C94" t="s">
        <v>320</v>
      </c>
    </row>
    <row r="95" spans="1:3" ht="15.75" customHeight="1" x14ac:dyDescent="0.25">
      <c r="A95" s="3" t="s">
        <v>297</v>
      </c>
      <c r="B95" s="4" t="s">
        <v>28</v>
      </c>
      <c r="C95" t="s">
        <v>334</v>
      </c>
    </row>
    <row r="96" spans="1:3" ht="15.75" customHeight="1" x14ac:dyDescent="0.25">
      <c r="A96" s="3" t="s">
        <v>253</v>
      </c>
      <c r="B96" s="4" t="s">
        <v>3</v>
      </c>
      <c r="C96" t="s">
        <v>328</v>
      </c>
    </row>
    <row r="97" spans="1:3" ht="15.75" customHeight="1" x14ac:dyDescent="0.25">
      <c r="A97" s="3" t="s">
        <v>36</v>
      </c>
      <c r="B97" s="4" t="s">
        <v>18</v>
      </c>
      <c r="C97" s="24" t="s">
        <v>339</v>
      </c>
    </row>
    <row r="98" spans="1:3" ht="15.75" customHeight="1" x14ac:dyDescent="0.25">
      <c r="A98" s="3" t="s">
        <v>133</v>
      </c>
      <c r="B98" s="4" t="s">
        <v>11</v>
      </c>
      <c r="C98" t="s">
        <v>333</v>
      </c>
    </row>
    <row r="99" spans="1:3" ht="15.75" customHeight="1" x14ac:dyDescent="0.25">
      <c r="A99" s="3" t="s">
        <v>129</v>
      </c>
      <c r="B99" s="4" t="s">
        <v>5</v>
      </c>
      <c r="C99" s="24" t="s">
        <v>338</v>
      </c>
    </row>
    <row r="100" spans="1:3" ht="15.75" customHeight="1" x14ac:dyDescent="0.25">
      <c r="A100" s="3" t="s">
        <v>63</v>
      </c>
      <c r="B100" s="4" t="s">
        <v>8</v>
      </c>
      <c r="C100" s="24" t="s">
        <v>339</v>
      </c>
    </row>
    <row r="101" spans="1:3" ht="15.75" customHeight="1" x14ac:dyDescent="0.25">
      <c r="A101" s="3" t="s">
        <v>185</v>
      </c>
      <c r="B101" s="4" t="s">
        <v>18</v>
      </c>
      <c r="C101" t="s">
        <v>335</v>
      </c>
    </row>
    <row r="102" spans="1:3" ht="15.75" customHeight="1" x14ac:dyDescent="0.25">
      <c r="A102" s="3" t="s">
        <v>196</v>
      </c>
      <c r="B102" s="4" t="s">
        <v>18</v>
      </c>
      <c r="C102" t="s">
        <v>335</v>
      </c>
    </row>
    <row r="103" spans="1:3" ht="15.75" customHeight="1" x14ac:dyDescent="0.25">
      <c r="A103" s="3" t="s">
        <v>202</v>
      </c>
      <c r="B103" s="4" t="s">
        <v>5</v>
      </c>
      <c r="C103" s="24" t="s">
        <v>338</v>
      </c>
    </row>
    <row r="104" spans="1:3" ht="15.75" customHeight="1" x14ac:dyDescent="0.25">
      <c r="A104" s="3" t="s">
        <v>137</v>
      </c>
      <c r="B104" s="4" t="s">
        <v>3</v>
      </c>
      <c r="C104" t="s">
        <v>323</v>
      </c>
    </row>
    <row r="105" spans="1:3" ht="15.75" customHeight="1" x14ac:dyDescent="0.25">
      <c r="A105" s="3" t="s">
        <v>10</v>
      </c>
      <c r="B105" s="4" t="s">
        <v>11</v>
      </c>
      <c r="C105" t="s">
        <v>337</v>
      </c>
    </row>
    <row r="106" spans="1:3" ht="15.75" customHeight="1" x14ac:dyDescent="0.25">
      <c r="A106" s="3" t="s">
        <v>54</v>
      </c>
      <c r="B106" s="4" t="s">
        <v>3</v>
      </c>
      <c r="C106" t="s">
        <v>323</v>
      </c>
    </row>
    <row r="107" spans="1:3" ht="15.75" customHeight="1" x14ac:dyDescent="0.25">
      <c r="A107" s="3" t="s">
        <v>38</v>
      </c>
      <c r="B107" s="4" t="s">
        <v>3</v>
      </c>
      <c r="C107" t="s">
        <v>329</v>
      </c>
    </row>
    <row r="108" spans="1:3" ht="15.75" customHeight="1" x14ac:dyDescent="0.25">
      <c r="A108" s="3" t="s">
        <v>21</v>
      </c>
      <c r="B108" s="4" t="s">
        <v>3</v>
      </c>
      <c r="C108" t="s">
        <v>327</v>
      </c>
    </row>
    <row r="109" spans="1:3" ht="15.75" customHeight="1" x14ac:dyDescent="0.25">
      <c r="A109" s="3" t="s">
        <v>107</v>
      </c>
      <c r="B109" s="4" t="s">
        <v>3</v>
      </c>
      <c r="C109" t="s">
        <v>320</v>
      </c>
    </row>
    <row r="110" spans="1:3" ht="15.75" customHeight="1" x14ac:dyDescent="0.25">
      <c r="A110" s="3" t="s">
        <v>121</v>
      </c>
      <c r="B110" s="4" t="s">
        <v>3</v>
      </c>
      <c r="C110" t="s">
        <v>327</v>
      </c>
    </row>
    <row r="111" spans="1:3" ht="15.75" customHeight="1" x14ac:dyDescent="0.25">
      <c r="A111" s="3" t="s">
        <v>112</v>
      </c>
      <c r="B111" s="4" t="s">
        <v>5</v>
      </c>
      <c r="C111" t="s">
        <v>322</v>
      </c>
    </row>
    <row r="112" spans="1:3" ht="15.75" customHeight="1" x14ac:dyDescent="0.25">
      <c r="A112" s="3" t="s">
        <v>52</v>
      </c>
      <c r="B112" s="4" t="s">
        <v>18</v>
      </c>
      <c r="C112" t="s">
        <v>332</v>
      </c>
    </row>
    <row r="113" spans="1:3" ht="15.75" customHeight="1" x14ac:dyDescent="0.25">
      <c r="A113" s="3" t="s">
        <v>100</v>
      </c>
      <c r="B113" s="4" t="s">
        <v>5</v>
      </c>
      <c r="C113" t="s">
        <v>326</v>
      </c>
    </row>
    <row r="114" spans="1:3" ht="15.75" customHeight="1" x14ac:dyDescent="0.25">
      <c r="A114" s="3" t="s">
        <v>199</v>
      </c>
      <c r="B114" s="4" t="s">
        <v>18</v>
      </c>
      <c r="C114" t="s">
        <v>335</v>
      </c>
    </row>
    <row r="115" spans="1:3" ht="15.75" customHeight="1" x14ac:dyDescent="0.25">
      <c r="A115" s="3" t="s">
        <v>70</v>
      </c>
      <c r="B115" s="4" t="s">
        <v>18</v>
      </c>
      <c r="C115" t="s">
        <v>335</v>
      </c>
    </row>
    <row r="116" spans="1:3" ht="15.75" customHeight="1" x14ac:dyDescent="0.25">
      <c r="A116" s="3" t="s">
        <v>183</v>
      </c>
      <c r="B116" s="4" t="s">
        <v>5</v>
      </c>
      <c r="C116" t="s">
        <v>322</v>
      </c>
    </row>
    <row r="117" spans="1:3" ht="15.75" customHeight="1" x14ac:dyDescent="0.25">
      <c r="A117" s="3" t="s">
        <v>67</v>
      </c>
      <c r="B117" s="4" t="s">
        <v>5</v>
      </c>
      <c r="C117" s="24" t="s">
        <v>338</v>
      </c>
    </row>
    <row r="118" spans="1:3" ht="15.75" customHeight="1" x14ac:dyDescent="0.25">
      <c r="A118" s="3" t="s">
        <v>286</v>
      </c>
      <c r="B118" s="4" t="s">
        <v>3</v>
      </c>
      <c r="C118" t="s">
        <v>320</v>
      </c>
    </row>
    <row r="119" spans="1:3" ht="15.75" customHeight="1" x14ac:dyDescent="0.25">
      <c r="A119" s="3" t="s">
        <v>206</v>
      </c>
      <c r="B119" s="4" t="s">
        <v>3</v>
      </c>
      <c r="C119" t="s">
        <v>321</v>
      </c>
    </row>
    <row r="120" spans="1:3" ht="15.75" customHeight="1" x14ac:dyDescent="0.25">
      <c r="A120" s="3" t="s">
        <v>217</v>
      </c>
      <c r="B120" s="4" t="s">
        <v>3</v>
      </c>
      <c r="C120" t="s">
        <v>323</v>
      </c>
    </row>
    <row r="121" spans="1:3" ht="15.75" customHeight="1" x14ac:dyDescent="0.25">
      <c r="A121" s="3" t="s">
        <v>237</v>
      </c>
      <c r="B121" s="4" t="s">
        <v>3</v>
      </c>
      <c r="C121" t="s">
        <v>319</v>
      </c>
    </row>
    <row r="122" spans="1:3" ht="15.75" customHeight="1" x14ac:dyDescent="0.25">
      <c r="A122" s="3" t="s">
        <v>187</v>
      </c>
      <c r="B122" s="4" t="s">
        <v>3</v>
      </c>
      <c r="C122" t="s">
        <v>321</v>
      </c>
    </row>
    <row r="123" spans="1:3" ht="15.75" customHeight="1" x14ac:dyDescent="0.25">
      <c r="A123" s="3" t="s">
        <v>220</v>
      </c>
      <c r="B123" s="4" t="s">
        <v>3</v>
      </c>
      <c r="C123" t="s">
        <v>324</v>
      </c>
    </row>
    <row r="124" spans="1:3" ht="15.75" customHeight="1" x14ac:dyDescent="0.25">
      <c r="A124" s="3" t="s">
        <v>79</v>
      </c>
      <c r="B124" s="4" t="s">
        <v>3</v>
      </c>
      <c r="C124" t="s">
        <v>321</v>
      </c>
    </row>
    <row r="125" spans="1:3" ht="15.75" customHeight="1" x14ac:dyDescent="0.25">
      <c r="A125" s="3" t="s">
        <v>247</v>
      </c>
      <c r="B125" s="4" t="s">
        <v>3</v>
      </c>
      <c r="C125" t="s">
        <v>328</v>
      </c>
    </row>
    <row r="126" spans="1:3" ht="15.75" customHeight="1" x14ac:dyDescent="0.25">
      <c r="A126" s="3" t="s">
        <v>209</v>
      </c>
      <c r="B126" s="4" t="s">
        <v>11</v>
      </c>
      <c r="C126" t="s">
        <v>330</v>
      </c>
    </row>
    <row r="127" spans="1:3" ht="15.75" customHeight="1" x14ac:dyDescent="0.25">
      <c r="A127" s="3" t="s">
        <v>130</v>
      </c>
      <c r="B127" s="4" t="s">
        <v>3</v>
      </c>
      <c r="C127" t="s">
        <v>321</v>
      </c>
    </row>
    <row r="128" spans="1:3" ht="15.75" customHeight="1" x14ac:dyDescent="0.25">
      <c r="A128" s="3" t="s">
        <v>125</v>
      </c>
      <c r="B128" s="4" t="s">
        <v>11</v>
      </c>
      <c r="C128" t="s">
        <v>330</v>
      </c>
    </row>
    <row r="129" spans="1:3" ht="15.75" customHeight="1" x14ac:dyDescent="0.25">
      <c r="A129" s="3" t="s">
        <v>57</v>
      </c>
      <c r="B129" s="4" t="s">
        <v>5</v>
      </c>
      <c r="C129" t="s">
        <v>326</v>
      </c>
    </row>
    <row r="130" spans="1:3" ht="15.75" customHeight="1" x14ac:dyDescent="0.25">
      <c r="A130" s="3" t="s">
        <v>41</v>
      </c>
      <c r="B130" s="4" t="s">
        <v>5</v>
      </c>
      <c r="C130" t="s">
        <v>326</v>
      </c>
    </row>
    <row r="131" spans="1:3" ht="15.75" customHeight="1" x14ac:dyDescent="0.25">
      <c r="A131" s="3" t="s">
        <v>229</v>
      </c>
      <c r="B131" s="4" t="s">
        <v>3</v>
      </c>
      <c r="C131" t="s">
        <v>323</v>
      </c>
    </row>
    <row r="132" spans="1:3" ht="15.75" customHeight="1" x14ac:dyDescent="0.25">
      <c r="A132" s="3" t="s">
        <v>132</v>
      </c>
      <c r="B132" s="4" t="s">
        <v>11</v>
      </c>
      <c r="C132" t="s">
        <v>333</v>
      </c>
    </row>
    <row r="133" spans="1:3" ht="15.75" customHeight="1" x14ac:dyDescent="0.25">
      <c r="A133" s="3" t="s">
        <v>157</v>
      </c>
      <c r="B133" s="4" t="s">
        <v>5</v>
      </c>
      <c r="C133" t="s">
        <v>322</v>
      </c>
    </row>
    <row r="134" spans="1:3" ht="15.75" customHeight="1" x14ac:dyDescent="0.25">
      <c r="A134" s="3" t="s">
        <v>158</v>
      </c>
      <c r="B134" s="4" t="s">
        <v>3</v>
      </c>
      <c r="C134" t="s">
        <v>321</v>
      </c>
    </row>
    <row r="135" spans="1:3" ht="15.75" customHeight="1" x14ac:dyDescent="0.25">
      <c r="A135" s="3" t="s">
        <v>216</v>
      </c>
      <c r="B135" s="4" t="s">
        <v>18</v>
      </c>
      <c r="C135" t="s">
        <v>325</v>
      </c>
    </row>
    <row r="136" spans="1:3" ht="15.75" customHeight="1" x14ac:dyDescent="0.25">
      <c r="A136" s="3" t="s">
        <v>109</v>
      </c>
      <c r="B136" s="4" t="s">
        <v>18</v>
      </c>
      <c r="C136" t="s">
        <v>335</v>
      </c>
    </row>
    <row r="137" spans="1:3" ht="15.75" customHeight="1" x14ac:dyDescent="0.25">
      <c r="A137" s="3" t="s">
        <v>44</v>
      </c>
      <c r="B137" s="4" t="s">
        <v>11</v>
      </c>
      <c r="C137" t="s">
        <v>337</v>
      </c>
    </row>
    <row r="138" spans="1:3" ht="15.75" customHeight="1" x14ac:dyDescent="0.25">
      <c r="A138" s="3" t="s">
        <v>274</v>
      </c>
      <c r="B138" s="4" t="s">
        <v>3</v>
      </c>
      <c r="C138" t="s">
        <v>329</v>
      </c>
    </row>
    <row r="139" spans="1:3" ht="15.75" customHeight="1" x14ac:dyDescent="0.25">
      <c r="A139" s="3" t="s">
        <v>96</v>
      </c>
      <c r="B139" s="4" t="s">
        <v>3</v>
      </c>
      <c r="C139" t="s">
        <v>327</v>
      </c>
    </row>
    <row r="140" spans="1:3" ht="15.75" customHeight="1" x14ac:dyDescent="0.25">
      <c r="A140" s="3" t="s">
        <v>30</v>
      </c>
      <c r="B140" s="4" t="s">
        <v>11</v>
      </c>
      <c r="C140" t="s">
        <v>333</v>
      </c>
    </row>
    <row r="141" spans="1:3" ht="15.75" customHeight="1" x14ac:dyDescent="0.25">
      <c r="A141" s="3" t="s">
        <v>141</v>
      </c>
      <c r="B141" s="4" t="s">
        <v>5</v>
      </c>
      <c r="C141" t="s">
        <v>322</v>
      </c>
    </row>
    <row r="142" spans="1:3" ht="15.75" customHeight="1" x14ac:dyDescent="0.25">
      <c r="A142" s="3" t="s">
        <v>170</v>
      </c>
      <c r="B142" s="4" t="s">
        <v>3</v>
      </c>
      <c r="C142" t="s">
        <v>328</v>
      </c>
    </row>
    <row r="143" spans="1:3" ht="15.75" customHeight="1" x14ac:dyDescent="0.25">
      <c r="A143" s="3" t="s">
        <v>268</v>
      </c>
      <c r="B143" s="4" t="s">
        <v>3</v>
      </c>
      <c r="C143" t="s">
        <v>327</v>
      </c>
    </row>
    <row r="144" spans="1:3" ht="15.75" customHeight="1" x14ac:dyDescent="0.25">
      <c r="A144" s="3" t="s">
        <v>84</v>
      </c>
      <c r="B144" s="4" t="s">
        <v>28</v>
      </c>
      <c r="C144" t="s">
        <v>336</v>
      </c>
    </row>
    <row r="145" spans="1:3" ht="15.75" customHeight="1" x14ac:dyDescent="0.25">
      <c r="A145" s="3" t="s">
        <v>58</v>
      </c>
      <c r="B145" s="4" t="s">
        <v>18</v>
      </c>
      <c r="C145" t="s">
        <v>335</v>
      </c>
    </row>
    <row r="146" spans="1:3" ht="15.75" customHeight="1" x14ac:dyDescent="0.25">
      <c r="A146" s="3" t="s">
        <v>151</v>
      </c>
      <c r="B146" s="4" t="s">
        <v>3</v>
      </c>
      <c r="C146" t="s">
        <v>319</v>
      </c>
    </row>
    <row r="147" spans="1:3" ht="15.75" customHeight="1" x14ac:dyDescent="0.25">
      <c r="A147" s="3" t="s">
        <v>211</v>
      </c>
      <c r="B147" s="4" t="s">
        <v>5</v>
      </c>
      <c r="C147" t="s">
        <v>322</v>
      </c>
    </row>
    <row r="148" spans="1:3" ht="15.75" customHeight="1" x14ac:dyDescent="0.25">
      <c r="A148" s="3" t="s">
        <v>140</v>
      </c>
      <c r="B148" s="4" t="s">
        <v>18</v>
      </c>
      <c r="C148" t="s">
        <v>332</v>
      </c>
    </row>
    <row r="149" spans="1:3" ht="15.75" customHeight="1" x14ac:dyDescent="0.25">
      <c r="A149" s="3" t="s">
        <v>127</v>
      </c>
      <c r="B149" s="4" t="s">
        <v>3</v>
      </c>
      <c r="C149" t="s">
        <v>320</v>
      </c>
    </row>
    <row r="150" spans="1:3" ht="15.75" customHeight="1" x14ac:dyDescent="0.25">
      <c r="A150" s="3" t="s">
        <v>251</v>
      </c>
      <c r="B150" s="4" t="s">
        <v>8</v>
      </c>
      <c r="C150" s="24" t="s">
        <v>339</v>
      </c>
    </row>
    <row r="151" spans="1:3" ht="15.75" customHeight="1" x14ac:dyDescent="0.25">
      <c r="A151" s="3" t="s">
        <v>131</v>
      </c>
      <c r="B151" s="4" t="s">
        <v>3</v>
      </c>
      <c r="C151" t="s">
        <v>321</v>
      </c>
    </row>
    <row r="152" spans="1:3" ht="15.75" customHeight="1" x14ac:dyDescent="0.25">
      <c r="A152" s="3" t="s">
        <v>218</v>
      </c>
      <c r="B152" s="4" t="s">
        <v>5</v>
      </c>
      <c r="C152" t="s">
        <v>322</v>
      </c>
    </row>
    <row r="153" spans="1:3" ht="15.75" customHeight="1" x14ac:dyDescent="0.25">
      <c r="A153" s="3" t="s">
        <v>204</v>
      </c>
      <c r="B153" s="4" t="s">
        <v>5</v>
      </c>
      <c r="C153" t="s">
        <v>326</v>
      </c>
    </row>
    <row r="154" spans="1:3" ht="15.75" customHeight="1" x14ac:dyDescent="0.25">
      <c r="A154" s="3" t="s">
        <v>167</v>
      </c>
      <c r="B154" s="4" t="s">
        <v>3</v>
      </c>
      <c r="C154" t="s">
        <v>327</v>
      </c>
    </row>
    <row r="155" spans="1:3" ht="15.75" customHeight="1" x14ac:dyDescent="0.25">
      <c r="A155" s="3" t="s">
        <v>267</v>
      </c>
      <c r="B155" s="4" t="s">
        <v>3</v>
      </c>
      <c r="C155" t="s">
        <v>320</v>
      </c>
    </row>
    <row r="156" spans="1:3" ht="15.75" customHeight="1" x14ac:dyDescent="0.25">
      <c r="A156" s="3" t="s">
        <v>98</v>
      </c>
      <c r="B156" s="4" t="s">
        <v>11</v>
      </c>
      <c r="C156" t="s">
        <v>330</v>
      </c>
    </row>
    <row r="157" spans="1:3" ht="15.75" customHeight="1" x14ac:dyDescent="0.25">
      <c r="A157" s="3" t="s">
        <v>152</v>
      </c>
      <c r="B157" s="4" t="s">
        <v>8</v>
      </c>
      <c r="C157" s="24" t="s">
        <v>339</v>
      </c>
    </row>
    <row r="158" spans="1:3" ht="15.75" customHeight="1" x14ac:dyDescent="0.25">
      <c r="A158" s="3" t="s">
        <v>244</v>
      </c>
      <c r="B158" s="4" t="s">
        <v>11</v>
      </c>
      <c r="C158" t="s">
        <v>330</v>
      </c>
    </row>
    <row r="159" spans="1:3" ht="15.75" customHeight="1" x14ac:dyDescent="0.25">
      <c r="A159" s="3" t="s">
        <v>230</v>
      </c>
      <c r="B159" s="4" t="s">
        <v>18</v>
      </c>
      <c r="C159" t="s">
        <v>325</v>
      </c>
    </row>
    <row r="160" spans="1:3" ht="15.75" customHeight="1" x14ac:dyDescent="0.25">
      <c r="A160" s="3" t="s">
        <v>65</v>
      </c>
      <c r="B160" s="4" t="s">
        <v>3</v>
      </c>
      <c r="C160" t="s">
        <v>324</v>
      </c>
    </row>
    <row r="161" spans="1:3" ht="15.75" customHeight="1" x14ac:dyDescent="0.25">
      <c r="A161" s="3" t="s">
        <v>291</v>
      </c>
      <c r="B161" s="4" t="s">
        <v>3</v>
      </c>
      <c r="C161" t="s">
        <v>319</v>
      </c>
    </row>
    <row r="162" spans="1:3" ht="15.75" customHeight="1" x14ac:dyDescent="0.25">
      <c r="A162" s="3" t="s">
        <v>219</v>
      </c>
      <c r="B162" s="4" t="s">
        <v>11</v>
      </c>
      <c r="C162" t="s">
        <v>337</v>
      </c>
    </row>
    <row r="163" spans="1:3" ht="15.75" customHeight="1" x14ac:dyDescent="0.25">
      <c r="A163" s="3" t="s">
        <v>295</v>
      </c>
      <c r="B163" s="4" t="s">
        <v>3</v>
      </c>
      <c r="C163" t="s">
        <v>320</v>
      </c>
    </row>
    <row r="164" spans="1:3" ht="15.75" customHeight="1" x14ac:dyDescent="0.25">
      <c r="A164" s="3" t="s">
        <v>147</v>
      </c>
      <c r="B164" s="4" t="s">
        <v>18</v>
      </c>
      <c r="C164" t="s">
        <v>325</v>
      </c>
    </row>
    <row r="165" spans="1:3" ht="15.75" customHeight="1" x14ac:dyDescent="0.25">
      <c r="A165" s="3" t="s">
        <v>66</v>
      </c>
      <c r="B165" s="4" t="s">
        <v>5</v>
      </c>
      <c r="C165" t="s">
        <v>322</v>
      </c>
    </row>
    <row r="166" spans="1:3" ht="15.75" customHeight="1" x14ac:dyDescent="0.25">
      <c r="A166" s="3" t="s">
        <v>254</v>
      </c>
      <c r="B166" s="4" t="s">
        <v>3</v>
      </c>
      <c r="C166" t="s">
        <v>324</v>
      </c>
    </row>
    <row r="167" spans="1:3" ht="15.75" customHeight="1" x14ac:dyDescent="0.25">
      <c r="A167" s="3" t="s">
        <v>62</v>
      </c>
      <c r="B167" s="4" t="s">
        <v>3</v>
      </c>
      <c r="C167" t="s">
        <v>323</v>
      </c>
    </row>
    <row r="168" spans="1:3" ht="15.75" customHeight="1" x14ac:dyDescent="0.25">
      <c r="A168" s="3" t="s">
        <v>82</v>
      </c>
      <c r="B168" s="4" t="s">
        <v>28</v>
      </c>
      <c r="C168" t="s">
        <v>331</v>
      </c>
    </row>
    <row r="169" spans="1:3" ht="15.75" customHeight="1" x14ac:dyDescent="0.25">
      <c r="A169" s="3" t="s">
        <v>139</v>
      </c>
      <c r="B169" s="4" t="s">
        <v>11</v>
      </c>
      <c r="C169" t="s">
        <v>330</v>
      </c>
    </row>
    <row r="170" spans="1:3" ht="15.75" customHeight="1" x14ac:dyDescent="0.25">
      <c r="A170" s="3" t="s">
        <v>72</v>
      </c>
      <c r="B170" s="4" t="s">
        <v>18</v>
      </c>
      <c r="C170" t="s">
        <v>332</v>
      </c>
    </row>
    <row r="171" spans="1:3" ht="15.75" customHeight="1" x14ac:dyDescent="0.25">
      <c r="A171" s="3" t="s">
        <v>287</v>
      </c>
      <c r="B171" s="4" t="s">
        <v>18</v>
      </c>
      <c r="C171" t="s">
        <v>325</v>
      </c>
    </row>
    <row r="172" spans="1:3" ht="15.75" customHeight="1" x14ac:dyDescent="0.25">
      <c r="A172" s="3" t="s">
        <v>46</v>
      </c>
      <c r="B172" s="4" t="s">
        <v>5</v>
      </c>
      <c r="C172" t="s">
        <v>326</v>
      </c>
    </row>
    <row r="173" spans="1:3" ht="15.75" customHeight="1" x14ac:dyDescent="0.25">
      <c r="A173" s="3" t="s">
        <v>165</v>
      </c>
      <c r="B173" s="4" t="s">
        <v>3</v>
      </c>
      <c r="C173" t="s">
        <v>329</v>
      </c>
    </row>
    <row r="174" spans="1:3" ht="15.75" customHeight="1" x14ac:dyDescent="0.25">
      <c r="A174" s="3" t="s">
        <v>149</v>
      </c>
      <c r="B174" s="4" t="s">
        <v>3</v>
      </c>
      <c r="C174" t="s">
        <v>329</v>
      </c>
    </row>
    <row r="175" spans="1:3" ht="15.75" customHeight="1" x14ac:dyDescent="0.25">
      <c r="A175" s="3" t="s">
        <v>122</v>
      </c>
      <c r="B175" s="4" t="s">
        <v>8</v>
      </c>
      <c r="C175" s="24" t="s">
        <v>339</v>
      </c>
    </row>
    <row r="176" spans="1:3" ht="15.75" customHeight="1" x14ac:dyDescent="0.25">
      <c r="A176" s="3" t="s">
        <v>184</v>
      </c>
      <c r="B176" s="4" t="s">
        <v>18</v>
      </c>
      <c r="C176" t="s">
        <v>332</v>
      </c>
    </row>
    <row r="177" spans="1:3" ht="15.75" customHeight="1" x14ac:dyDescent="0.25">
      <c r="A177" s="3" t="s">
        <v>282</v>
      </c>
      <c r="B177" s="4" t="s">
        <v>3</v>
      </c>
      <c r="C177" t="s">
        <v>328</v>
      </c>
    </row>
    <row r="178" spans="1:3" ht="15.75" customHeight="1" x14ac:dyDescent="0.25">
      <c r="A178" s="3" t="s">
        <v>106</v>
      </c>
      <c r="B178" s="4" t="s">
        <v>18</v>
      </c>
      <c r="C178" t="s">
        <v>332</v>
      </c>
    </row>
    <row r="179" spans="1:3" ht="15.75" customHeight="1" x14ac:dyDescent="0.25">
      <c r="A179" s="3" t="s">
        <v>156</v>
      </c>
      <c r="B179" s="4" t="s">
        <v>28</v>
      </c>
      <c r="C179" t="s">
        <v>336</v>
      </c>
    </row>
    <row r="180" spans="1:3" ht="15.75" customHeight="1" x14ac:dyDescent="0.25">
      <c r="A180" s="3" t="s">
        <v>234</v>
      </c>
      <c r="B180" s="4" t="s">
        <v>3</v>
      </c>
      <c r="C180" t="s">
        <v>327</v>
      </c>
    </row>
    <row r="181" spans="1:3" ht="15.75" customHeight="1" x14ac:dyDescent="0.25">
      <c r="A181" s="3" t="s">
        <v>160</v>
      </c>
      <c r="B181" s="4" t="s">
        <v>3</v>
      </c>
      <c r="C181" t="s">
        <v>319</v>
      </c>
    </row>
    <row r="182" spans="1:3" ht="15.75" customHeight="1" x14ac:dyDescent="0.25">
      <c r="A182" s="3" t="s">
        <v>240</v>
      </c>
      <c r="B182" s="4" t="s">
        <v>3</v>
      </c>
      <c r="C182" t="s">
        <v>329</v>
      </c>
    </row>
    <row r="183" spans="1:3" ht="15.75" customHeight="1" x14ac:dyDescent="0.25">
      <c r="A183" s="3" t="s">
        <v>210</v>
      </c>
      <c r="B183" s="4" t="s">
        <v>28</v>
      </c>
      <c r="C183" t="s">
        <v>336</v>
      </c>
    </row>
    <row r="184" spans="1:3" ht="15.75" customHeight="1" x14ac:dyDescent="0.25">
      <c r="A184" s="3" t="s">
        <v>39</v>
      </c>
      <c r="B184" s="4" t="s">
        <v>8</v>
      </c>
      <c r="C184" s="24" t="s">
        <v>339</v>
      </c>
    </row>
    <row r="185" spans="1:3" ht="15.75" customHeight="1" x14ac:dyDescent="0.25">
      <c r="A185" s="3" t="s">
        <v>198</v>
      </c>
      <c r="B185" s="4" t="s">
        <v>3</v>
      </c>
      <c r="C185" t="s">
        <v>323</v>
      </c>
    </row>
    <row r="186" spans="1:3" ht="15.75" customHeight="1" x14ac:dyDescent="0.25">
      <c r="A186" s="3" t="s">
        <v>201</v>
      </c>
      <c r="B186" s="4" t="s">
        <v>28</v>
      </c>
      <c r="C186" t="s">
        <v>336</v>
      </c>
    </row>
    <row r="187" spans="1:3" ht="15.75" customHeight="1" x14ac:dyDescent="0.25">
      <c r="A187" s="3" t="s">
        <v>116</v>
      </c>
      <c r="B187" s="4" t="s">
        <v>3</v>
      </c>
      <c r="C187" t="s">
        <v>324</v>
      </c>
    </row>
    <row r="188" spans="1:3" ht="15.75" customHeight="1" x14ac:dyDescent="0.25">
      <c r="A188" s="3" t="s">
        <v>61</v>
      </c>
      <c r="B188" s="4" t="s">
        <v>11</v>
      </c>
      <c r="C188" t="s">
        <v>330</v>
      </c>
    </row>
    <row r="189" spans="1:3" ht="15.75" customHeight="1" x14ac:dyDescent="0.25">
      <c r="A189" s="3" t="s">
        <v>146</v>
      </c>
      <c r="B189" s="4" t="s">
        <v>3</v>
      </c>
      <c r="C189" t="s">
        <v>323</v>
      </c>
    </row>
    <row r="190" spans="1:3" ht="15.75" customHeight="1" x14ac:dyDescent="0.25">
      <c r="A190" s="3" t="s">
        <v>171</v>
      </c>
      <c r="B190" s="4" t="s">
        <v>18</v>
      </c>
      <c r="C190" t="s">
        <v>325</v>
      </c>
    </row>
    <row r="191" spans="1:3" ht="15.75" customHeight="1" x14ac:dyDescent="0.25">
      <c r="A191" s="3" t="s">
        <v>270</v>
      </c>
      <c r="B191" s="4" t="s">
        <v>3</v>
      </c>
      <c r="C191" t="s">
        <v>319</v>
      </c>
    </row>
    <row r="192" spans="1:3" ht="15.75" customHeight="1" x14ac:dyDescent="0.25">
      <c r="A192" s="3" t="s">
        <v>86</v>
      </c>
      <c r="B192" s="4" t="s">
        <v>8</v>
      </c>
      <c r="C192" s="24" t="s">
        <v>339</v>
      </c>
    </row>
    <row r="193" spans="1:3" ht="15.75" customHeight="1" x14ac:dyDescent="0.25">
      <c r="A193" s="3" t="s">
        <v>257</v>
      </c>
      <c r="B193" s="4" t="s">
        <v>18</v>
      </c>
      <c r="C193" t="s">
        <v>335</v>
      </c>
    </row>
    <row r="194" spans="1:3" ht="15.75" customHeight="1" x14ac:dyDescent="0.25">
      <c r="A194" s="3" t="s">
        <v>9</v>
      </c>
      <c r="B194" s="4" t="s">
        <v>5</v>
      </c>
      <c r="C194" t="s">
        <v>326</v>
      </c>
    </row>
    <row r="195" spans="1:3" ht="15.75" customHeight="1" x14ac:dyDescent="0.25">
      <c r="A195" s="3" t="s">
        <v>226</v>
      </c>
      <c r="B195" s="4" t="s">
        <v>3</v>
      </c>
      <c r="C195" t="s">
        <v>321</v>
      </c>
    </row>
    <row r="196" spans="1:3" ht="15.75" customHeight="1" x14ac:dyDescent="0.25">
      <c r="A196" s="3" t="s">
        <v>111</v>
      </c>
      <c r="B196" s="4" t="s">
        <v>18</v>
      </c>
      <c r="C196" t="s">
        <v>335</v>
      </c>
    </row>
    <row r="197" spans="1:3" ht="15.75" customHeight="1" x14ac:dyDescent="0.25">
      <c r="A197" s="3" t="s">
        <v>163</v>
      </c>
      <c r="B197" s="4" t="s">
        <v>5</v>
      </c>
      <c r="C197" t="s">
        <v>322</v>
      </c>
    </row>
    <row r="198" spans="1:3" ht="15.75" customHeight="1" x14ac:dyDescent="0.25">
      <c r="A198" s="3" t="s">
        <v>91</v>
      </c>
      <c r="B198" s="4" t="s">
        <v>3</v>
      </c>
      <c r="C198" t="s">
        <v>329</v>
      </c>
    </row>
    <row r="199" spans="1:3" ht="15.75" customHeight="1" x14ac:dyDescent="0.25">
      <c r="A199" s="3" t="s">
        <v>97</v>
      </c>
      <c r="B199" s="4" t="s">
        <v>3</v>
      </c>
      <c r="C199" t="s">
        <v>320</v>
      </c>
    </row>
    <row r="200" spans="1:3" ht="15.75" customHeight="1" x14ac:dyDescent="0.25">
      <c r="A200" s="3" t="s">
        <v>145</v>
      </c>
      <c r="B200" s="4" t="s">
        <v>3</v>
      </c>
      <c r="C200" t="s">
        <v>321</v>
      </c>
    </row>
    <row r="201" spans="1:3" ht="15.75" customHeight="1" x14ac:dyDescent="0.25">
      <c r="A201" s="3" t="s">
        <v>182</v>
      </c>
      <c r="B201" s="4" t="s">
        <v>3</v>
      </c>
      <c r="C201" t="s">
        <v>329</v>
      </c>
    </row>
    <row r="202" spans="1:3" ht="15.75" customHeight="1" x14ac:dyDescent="0.25">
      <c r="A202" s="3" t="s">
        <v>45</v>
      </c>
      <c r="B202" s="4" t="s">
        <v>5</v>
      </c>
      <c r="C202" s="24" t="s">
        <v>338</v>
      </c>
    </row>
    <row r="203" spans="1:3" ht="15.75" customHeight="1" x14ac:dyDescent="0.25">
      <c r="A203" s="3" t="s">
        <v>259</v>
      </c>
      <c r="B203" s="4" t="s">
        <v>28</v>
      </c>
      <c r="C203" t="s">
        <v>336</v>
      </c>
    </row>
    <row r="204" spans="1:3" ht="15.75" customHeight="1" x14ac:dyDescent="0.25">
      <c r="A204" s="3" t="s">
        <v>289</v>
      </c>
      <c r="B204" s="4" t="s">
        <v>28</v>
      </c>
      <c r="C204" t="s">
        <v>334</v>
      </c>
    </row>
    <row r="205" spans="1:3" ht="15.75" customHeight="1" x14ac:dyDescent="0.25">
      <c r="A205" s="3" t="s">
        <v>180</v>
      </c>
      <c r="B205" s="4" t="s">
        <v>3</v>
      </c>
      <c r="C205" t="s">
        <v>319</v>
      </c>
    </row>
    <row r="206" spans="1:3" ht="15.75" customHeight="1" x14ac:dyDescent="0.25">
      <c r="A206" s="3" t="s">
        <v>123</v>
      </c>
      <c r="B206" s="4" t="s">
        <v>5</v>
      </c>
      <c r="C206" t="s">
        <v>326</v>
      </c>
    </row>
    <row r="207" spans="1:3" ht="15.75" customHeight="1" x14ac:dyDescent="0.25">
      <c r="A207" s="3" t="s">
        <v>20</v>
      </c>
      <c r="B207" s="4" t="s">
        <v>11</v>
      </c>
      <c r="C207" t="s">
        <v>330</v>
      </c>
    </row>
    <row r="208" spans="1:3" ht="15.75" customHeight="1" x14ac:dyDescent="0.25">
      <c r="A208" s="3" t="s">
        <v>126</v>
      </c>
      <c r="B208" s="4" t="s">
        <v>5</v>
      </c>
      <c r="C208" t="s">
        <v>322</v>
      </c>
    </row>
    <row r="209" spans="1:3" ht="15.75" customHeight="1" x14ac:dyDescent="0.25">
      <c r="A209" s="3" t="s">
        <v>241</v>
      </c>
      <c r="B209" s="4" t="s">
        <v>18</v>
      </c>
      <c r="C209" t="s">
        <v>325</v>
      </c>
    </row>
    <row r="210" spans="1:3" ht="15.75" customHeight="1" x14ac:dyDescent="0.25">
      <c r="A210" s="3" t="s">
        <v>278</v>
      </c>
      <c r="B210" s="4" t="s">
        <v>3</v>
      </c>
      <c r="C210" t="s">
        <v>321</v>
      </c>
    </row>
    <row r="211" spans="1:3" ht="15.75" customHeight="1" x14ac:dyDescent="0.25">
      <c r="A211" s="3" t="s">
        <v>102</v>
      </c>
      <c r="B211" s="4" t="s">
        <v>5</v>
      </c>
      <c r="C211" t="s">
        <v>322</v>
      </c>
    </row>
    <row r="212" spans="1:3" ht="15.75" customHeight="1" x14ac:dyDescent="0.25">
      <c r="A212" s="3" t="s">
        <v>136</v>
      </c>
      <c r="B212" s="4" t="s">
        <v>5</v>
      </c>
      <c r="C212" t="s">
        <v>322</v>
      </c>
    </row>
    <row r="213" spans="1:3" ht="15.75" customHeight="1" x14ac:dyDescent="0.25">
      <c r="A213" s="3" t="s">
        <v>279</v>
      </c>
      <c r="B213" s="4" t="s">
        <v>3</v>
      </c>
      <c r="C213" t="s">
        <v>323</v>
      </c>
    </row>
    <row r="214" spans="1:3" ht="15.75" customHeight="1" x14ac:dyDescent="0.25">
      <c r="A214" s="3" t="s">
        <v>256</v>
      </c>
      <c r="B214" s="4" t="s">
        <v>3</v>
      </c>
      <c r="C214" t="s">
        <v>328</v>
      </c>
    </row>
    <row r="215" spans="1:3" ht="15.75" customHeight="1" x14ac:dyDescent="0.25">
      <c r="A215" s="3" t="s">
        <v>207</v>
      </c>
      <c r="B215" s="4" t="s">
        <v>8</v>
      </c>
      <c r="C215" s="24" t="s">
        <v>339</v>
      </c>
    </row>
    <row r="216" spans="1:3" ht="15.75" customHeight="1" x14ac:dyDescent="0.25">
      <c r="A216" s="3" t="s">
        <v>71</v>
      </c>
      <c r="B216" s="4" t="s">
        <v>3</v>
      </c>
      <c r="C216" t="s">
        <v>320</v>
      </c>
    </row>
    <row r="217" spans="1:3" ht="15.75" customHeight="1" x14ac:dyDescent="0.25">
      <c r="A217" s="3" t="s">
        <v>190</v>
      </c>
      <c r="B217" s="4" t="s">
        <v>5</v>
      </c>
      <c r="C217" t="s">
        <v>322</v>
      </c>
    </row>
    <row r="218" spans="1:3" ht="15.75" customHeight="1" x14ac:dyDescent="0.25">
      <c r="A218" s="3" t="s">
        <v>85</v>
      </c>
      <c r="B218" s="4" t="s">
        <v>5</v>
      </c>
      <c r="C218" t="s">
        <v>322</v>
      </c>
    </row>
    <row r="219" spans="1:3" ht="15.75" customHeight="1" x14ac:dyDescent="0.25">
      <c r="A219" s="3" t="s">
        <v>19</v>
      </c>
      <c r="B219" s="4" t="s">
        <v>5</v>
      </c>
      <c r="C219" t="s">
        <v>322</v>
      </c>
    </row>
    <row r="220" spans="1:3" ht="15.75" customHeight="1" x14ac:dyDescent="0.25">
      <c r="A220" s="3" t="s">
        <v>117</v>
      </c>
      <c r="B220" s="4" t="s">
        <v>5</v>
      </c>
      <c r="C220" s="24" t="s">
        <v>338</v>
      </c>
    </row>
    <row r="221" spans="1:3" ht="15.75" customHeight="1" x14ac:dyDescent="0.25">
      <c r="A221" s="3" t="s">
        <v>193</v>
      </c>
      <c r="B221" s="4" t="s">
        <v>18</v>
      </c>
      <c r="C221" t="s">
        <v>335</v>
      </c>
    </row>
    <row r="222" spans="1:3" ht="15.75" customHeight="1" x14ac:dyDescent="0.25">
      <c r="A222" s="3" t="s">
        <v>64</v>
      </c>
      <c r="B222" s="4" t="s">
        <v>11</v>
      </c>
      <c r="C222" t="s">
        <v>333</v>
      </c>
    </row>
    <row r="223" spans="1:3" ht="15.75" customHeight="1" x14ac:dyDescent="0.25">
      <c r="A223" s="3" t="s">
        <v>138</v>
      </c>
      <c r="B223" s="4" t="s">
        <v>28</v>
      </c>
      <c r="C223" t="s">
        <v>336</v>
      </c>
    </row>
    <row r="224" spans="1:3" ht="15.75" customHeight="1" x14ac:dyDescent="0.25">
      <c r="A224" s="3" t="s">
        <v>181</v>
      </c>
      <c r="B224" s="4" t="s">
        <v>3</v>
      </c>
      <c r="C224" t="s">
        <v>324</v>
      </c>
    </row>
    <row r="225" spans="1:3" ht="15.75" customHeight="1" x14ac:dyDescent="0.25">
      <c r="A225" s="3" t="s">
        <v>144</v>
      </c>
      <c r="B225" s="4" t="s">
        <v>5</v>
      </c>
      <c r="C225" s="24" t="s">
        <v>338</v>
      </c>
    </row>
    <row r="226" spans="1:3" ht="15.75" customHeight="1" x14ac:dyDescent="0.25">
      <c r="A226" s="3" t="s">
        <v>174</v>
      </c>
      <c r="B226" s="4" t="s">
        <v>3</v>
      </c>
      <c r="C226" t="s">
        <v>324</v>
      </c>
    </row>
    <row r="227" spans="1:3" ht="15.75" customHeight="1" x14ac:dyDescent="0.25">
      <c r="A227" s="3" t="s">
        <v>225</v>
      </c>
      <c r="B227" s="4" t="s">
        <v>5</v>
      </c>
      <c r="C227" t="s">
        <v>322</v>
      </c>
    </row>
    <row r="228" spans="1:3" ht="15.75" customHeight="1" x14ac:dyDescent="0.25">
      <c r="A228" s="3" t="s">
        <v>276</v>
      </c>
      <c r="B228" s="4" t="s">
        <v>3</v>
      </c>
      <c r="C228" t="s">
        <v>324</v>
      </c>
    </row>
    <row r="229" spans="1:3" ht="15.75" customHeight="1" x14ac:dyDescent="0.25">
      <c r="A229" s="3" t="s">
        <v>280</v>
      </c>
      <c r="B229" s="4" t="s">
        <v>3</v>
      </c>
      <c r="C229" t="s">
        <v>320</v>
      </c>
    </row>
    <row r="230" spans="1:3" ht="15.75" customHeight="1" x14ac:dyDescent="0.25">
      <c r="A230" s="3" t="s">
        <v>74</v>
      </c>
      <c r="B230" s="4" t="s">
        <v>18</v>
      </c>
      <c r="C230" t="s">
        <v>335</v>
      </c>
    </row>
    <row r="231" spans="1:3" ht="15.75" customHeight="1" x14ac:dyDescent="0.25">
      <c r="A231" s="3" t="s">
        <v>135</v>
      </c>
      <c r="B231" s="4" t="s">
        <v>28</v>
      </c>
      <c r="C231" t="s">
        <v>334</v>
      </c>
    </row>
    <row r="232" spans="1:3" ht="15.75" customHeight="1" x14ac:dyDescent="0.25">
      <c r="A232" s="3" t="s">
        <v>105</v>
      </c>
      <c r="B232" s="4" t="s">
        <v>3</v>
      </c>
      <c r="C232" t="s">
        <v>323</v>
      </c>
    </row>
    <row r="233" spans="1:3" ht="15.75" customHeight="1" x14ac:dyDescent="0.25">
      <c r="A233" s="3" t="s">
        <v>290</v>
      </c>
      <c r="B233" s="4" t="s">
        <v>18</v>
      </c>
      <c r="C233" t="s">
        <v>335</v>
      </c>
    </row>
    <row r="234" spans="1:3" ht="15.75" customHeight="1" x14ac:dyDescent="0.25">
      <c r="A234" s="3" t="s">
        <v>56</v>
      </c>
      <c r="B234" s="4" t="s">
        <v>18</v>
      </c>
      <c r="C234" t="s">
        <v>325</v>
      </c>
    </row>
    <row r="235" spans="1:3" ht="15.75" customHeight="1" x14ac:dyDescent="0.25">
      <c r="A235" s="3" t="s">
        <v>189</v>
      </c>
      <c r="B235" s="4" t="s">
        <v>11</v>
      </c>
      <c r="C235" t="s">
        <v>322</v>
      </c>
    </row>
    <row r="236" spans="1:3" ht="15.75" customHeight="1" x14ac:dyDescent="0.25">
      <c r="A236" s="3" t="s">
        <v>128</v>
      </c>
      <c r="B236" s="4" t="s">
        <v>3</v>
      </c>
      <c r="C236" t="s">
        <v>324</v>
      </c>
    </row>
    <row r="237" spans="1:3" ht="15.75" customHeight="1" x14ac:dyDescent="0.25">
      <c r="A237" s="3" t="s">
        <v>293</v>
      </c>
      <c r="B237" s="4" t="s">
        <v>3</v>
      </c>
      <c r="C237" t="s">
        <v>329</v>
      </c>
    </row>
    <row r="238" spans="1:3" ht="15.75" customHeight="1" x14ac:dyDescent="0.25">
      <c r="A238" s="3" t="s">
        <v>37</v>
      </c>
      <c r="B238" s="4" t="s">
        <v>8</v>
      </c>
      <c r="C238" s="24" t="s">
        <v>339</v>
      </c>
    </row>
    <row r="239" spans="1:3" ht="15.75" customHeight="1" x14ac:dyDescent="0.25">
      <c r="A239" s="3" t="s">
        <v>104</v>
      </c>
      <c r="B239" s="4" t="s">
        <v>11</v>
      </c>
      <c r="C239" t="s">
        <v>333</v>
      </c>
    </row>
    <row r="240" spans="1:3" ht="15.75" customHeight="1" x14ac:dyDescent="0.25">
      <c r="A240" s="3" t="s">
        <v>162</v>
      </c>
      <c r="B240" s="4" t="s">
        <v>3</v>
      </c>
      <c r="C240" t="s">
        <v>328</v>
      </c>
    </row>
    <row r="241" spans="1:3" ht="15.75" customHeight="1" x14ac:dyDescent="0.25">
      <c r="A241" s="3" t="s">
        <v>228</v>
      </c>
      <c r="B241" s="4" t="s">
        <v>8</v>
      </c>
      <c r="C241" s="24" t="s">
        <v>339</v>
      </c>
    </row>
    <row r="242" spans="1:3" ht="15.75" customHeight="1" x14ac:dyDescent="0.25">
      <c r="A242" s="3" t="s">
        <v>34</v>
      </c>
      <c r="B242" s="4" t="s">
        <v>3</v>
      </c>
      <c r="C242" t="s">
        <v>329</v>
      </c>
    </row>
    <row r="243" spans="1:3" ht="15.75" customHeight="1" x14ac:dyDescent="0.25">
      <c r="A243" s="3" t="s">
        <v>27</v>
      </c>
      <c r="B243" s="4" t="s">
        <v>28</v>
      </c>
      <c r="C243" t="s">
        <v>334</v>
      </c>
    </row>
    <row r="244" spans="1:3" ht="15.75" customHeight="1" x14ac:dyDescent="0.25">
      <c r="A244" s="3" t="s">
        <v>153</v>
      </c>
      <c r="B244" s="4" t="s">
        <v>3</v>
      </c>
      <c r="C244" t="s">
        <v>319</v>
      </c>
    </row>
    <row r="245" spans="1:3" ht="15.75" customHeight="1" x14ac:dyDescent="0.25">
      <c r="A245" s="3" t="s">
        <v>87</v>
      </c>
      <c r="B245" s="4" t="s">
        <v>11</v>
      </c>
      <c r="C245" t="s">
        <v>333</v>
      </c>
    </row>
    <row r="246" spans="1:3" ht="15.75" customHeight="1" x14ac:dyDescent="0.25">
      <c r="A246" s="3" t="s">
        <v>95</v>
      </c>
      <c r="B246" s="4" t="s">
        <v>8</v>
      </c>
      <c r="C246" s="24" t="s">
        <v>339</v>
      </c>
    </row>
    <row r="247" spans="1:3" ht="15.75" customHeight="1" x14ac:dyDescent="0.25">
      <c r="A247" s="3" t="s">
        <v>284</v>
      </c>
      <c r="B247" s="4" t="s">
        <v>5</v>
      </c>
      <c r="C247" t="s">
        <v>337</v>
      </c>
    </row>
    <row r="248" spans="1:3" ht="15.75" customHeight="1" x14ac:dyDescent="0.25">
      <c r="A248" s="3" t="s">
        <v>249</v>
      </c>
      <c r="B248" s="4" t="s">
        <v>3</v>
      </c>
      <c r="C248" t="s">
        <v>323</v>
      </c>
    </row>
    <row r="249" spans="1:3" ht="15.75" customHeight="1" x14ac:dyDescent="0.25">
      <c r="A249" s="3" t="s">
        <v>252</v>
      </c>
      <c r="B249" s="4" t="s">
        <v>18</v>
      </c>
      <c r="C249" t="s">
        <v>325</v>
      </c>
    </row>
    <row r="250" spans="1:3" ht="15.75" customHeight="1" x14ac:dyDescent="0.25">
      <c r="A250" s="3" t="s">
        <v>110</v>
      </c>
      <c r="B250" s="4" t="s">
        <v>28</v>
      </c>
      <c r="C250" t="s">
        <v>336</v>
      </c>
    </row>
    <row r="251" spans="1:3" ht="15.75" customHeight="1" x14ac:dyDescent="0.25">
      <c r="A251" s="3" t="s">
        <v>16</v>
      </c>
      <c r="B251" s="4" t="s">
        <v>8</v>
      </c>
      <c r="C251" s="24" t="s">
        <v>339</v>
      </c>
    </row>
    <row r="252" spans="1:3" ht="15.75" customHeight="1" x14ac:dyDescent="0.25">
      <c r="A252" s="3" t="s">
        <v>194</v>
      </c>
      <c r="B252" s="4" t="s">
        <v>3</v>
      </c>
      <c r="C252" t="s">
        <v>323</v>
      </c>
    </row>
    <row r="253" spans="1:3" ht="15.75" customHeight="1" x14ac:dyDescent="0.25">
      <c r="A253" s="3" t="s">
        <v>255</v>
      </c>
      <c r="B253" s="4" t="s">
        <v>28</v>
      </c>
      <c r="C253" t="s">
        <v>336</v>
      </c>
    </row>
    <row r="254" spans="1:3" ht="15.75" customHeight="1" x14ac:dyDescent="0.25">
      <c r="A254" s="3" t="s">
        <v>43</v>
      </c>
      <c r="B254" s="4" t="s">
        <v>3</v>
      </c>
      <c r="C254" s="25" t="s">
        <v>328</v>
      </c>
    </row>
    <row r="255" spans="1:3" ht="15.75" customHeight="1" x14ac:dyDescent="0.25">
      <c r="A255" s="3" t="s">
        <v>150</v>
      </c>
      <c r="B255" s="4" t="s">
        <v>18</v>
      </c>
      <c r="C255" t="s">
        <v>335</v>
      </c>
    </row>
    <row r="256" spans="1:3" ht="15.75" customHeight="1" x14ac:dyDescent="0.25">
      <c r="A256" s="3" t="s">
        <v>176</v>
      </c>
      <c r="B256" s="4" t="s">
        <v>18</v>
      </c>
      <c r="C256" t="s">
        <v>335</v>
      </c>
    </row>
    <row r="257" spans="1:3" ht="15.75" customHeight="1" x14ac:dyDescent="0.25">
      <c r="A257" s="3" t="s">
        <v>242</v>
      </c>
      <c r="B257" s="4" t="s">
        <v>3</v>
      </c>
      <c r="C257" t="s">
        <v>324</v>
      </c>
    </row>
    <row r="258" spans="1:3" ht="15.75" customHeight="1" x14ac:dyDescent="0.25">
      <c r="A258" s="3" t="s">
        <v>25</v>
      </c>
      <c r="B258" s="4" t="s">
        <v>3</v>
      </c>
      <c r="C258" t="s">
        <v>323</v>
      </c>
    </row>
    <row r="259" spans="1:3" ht="15.75" customHeight="1" x14ac:dyDescent="0.25">
      <c r="A259" s="3" t="s">
        <v>224</v>
      </c>
      <c r="B259" s="4" t="s">
        <v>8</v>
      </c>
      <c r="C259" s="24" t="s">
        <v>339</v>
      </c>
    </row>
    <row r="260" spans="1:3" ht="15.75" customHeight="1" x14ac:dyDescent="0.25">
      <c r="A260" s="3" t="s">
        <v>258</v>
      </c>
      <c r="B260" s="4" t="s">
        <v>3</v>
      </c>
      <c r="C260" t="s">
        <v>324</v>
      </c>
    </row>
    <row r="261" spans="1:3" ht="15.75" customHeight="1" x14ac:dyDescent="0.25">
      <c r="A261" s="3" t="s">
        <v>197</v>
      </c>
      <c r="B261" s="4" t="s">
        <v>11</v>
      </c>
      <c r="C261" t="s">
        <v>337</v>
      </c>
    </row>
    <row r="262" spans="1:3" ht="15.75" customHeight="1" x14ac:dyDescent="0.25">
      <c r="A262" s="3" t="s">
        <v>113</v>
      </c>
      <c r="B262" s="4" t="s">
        <v>3</v>
      </c>
      <c r="C262" t="s">
        <v>321</v>
      </c>
    </row>
    <row r="263" spans="1:3" ht="15.75" customHeight="1" x14ac:dyDescent="0.25">
      <c r="A263" s="3" t="s">
        <v>178</v>
      </c>
      <c r="B263" s="4" t="s">
        <v>3</v>
      </c>
      <c r="C263" t="s">
        <v>329</v>
      </c>
    </row>
    <row r="264" spans="1:3" ht="15.75" customHeight="1" x14ac:dyDescent="0.25">
      <c r="A264" s="3" t="s">
        <v>81</v>
      </c>
      <c r="B264" s="4" t="s">
        <v>18</v>
      </c>
      <c r="C264" t="s">
        <v>332</v>
      </c>
    </row>
    <row r="265" spans="1:3" ht="15.75" customHeight="1" x14ac:dyDescent="0.25">
      <c r="A265" s="3" t="s">
        <v>35</v>
      </c>
      <c r="B265" s="4" t="s">
        <v>18</v>
      </c>
      <c r="C265" t="s">
        <v>325</v>
      </c>
    </row>
    <row r="266" spans="1:3" ht="15.75" customHeight="1" x14ac:dyDescent="0.25">
      <c r="A266" s="3" t="s">
        <v>273</v>
      </c>
      <c r="B266" s="4" t="s">
        <v>3</v>
      </c>
      <c r="C266" t="s">
        <v>329</v>
      </c>
    </row>
    <row r="267" spans="1:3" ht="15.75" customHeight="1" x14ac:dyDescent="0.25">
      <c r="A267" s="3" t="s">
        <v>223</v>
      </c>
      <c r="B267" s="4" t="s">
        <v>5</v>
      </c>
      <c r="C267" t="s">
        <v>322</v>
      </c>
    </row>
    <row r="268" spans="1:3" ht="15.75" customHeight="1" x14ac:dyDescent="0.25">
      <c r="A268" s="3" t="s">
        <v>166</v>
      </c>
      <c r="B268" s="4" t="s">
        <v>3</v>
      </c>
      <c r="C268" t="s">
        <v>320</v>
      </c>
    </row>
    <row r="269" spans="1:3" ht="15.75" customHeight="1" x14ac:dyDescent="0.25">
      <c r="A269" s="3" t="s">
        <v>235</v>
      </c>
      <c r="B269" s="4" t="s">
        <v>3</v>
      </c>
      <c r="C269" t="s">
        <v>324</v>
      </c>
    </row>
    <row r="270" spans="1:3" ht="15.75" customHeight="1" x14ac:dyDescent="0.25">
      <c r="A270" s="3" t="s">
        <v>49</v>
      </c>
      <c r="B270" s="4" t="s">
        <v>8</v>
      </c>
      <c r="C270" s="24" t="s">
        <v>339</v>
      </c>
    </row>
    <row r="271" spans="1:3" ht="15.75" customHeight="1" x14ac:dyDescent="0.25">
      <c r="A271" s="3" t="s">
        <v>212</v>
      </c>
      <c r="B271" s="4" t="s">
        <v>18</v>
      </c>
      <c r="C271" t="s">
        <v>325</v>
      </c>
    </row>
    <row r="272" spans="1:3" ht="15.75" customHeight="1" x14ac:dyDescent="0.25">
      <c r="A272" s="3" t="s">
        <v>53</v>
      </c>
      <c r="B272" s="4" t="s">
        <v>5</v>
      </c>
      <c r="C272" s="24" t="s">
        <v>338</v>
      </c>
    </row>
    <row r="273" spans="1:3" ht="15.75" customHeight="1" x14ac:dyDescent="0.25">
      <c r="A273" s="3" t="s">
        <v>23</v>
      </c>
      <c r="B273" s="4" t="s">
        <v>11</v>
      </c>
      <c r="C273" t="s">
        <v>320</v>
      </c>
    </row>
    <row r="274" spans="1:3" ht="15.75" customHeight="1" x14ac:dyDescent="0.25">
      <c r="A274" s="3" t="s">
        <v>14</v>
      </c>
      <c r="B274" s="4" t="s">
        <v>11</v>
      </c>
      <c r="C274" t="s">
        <v>330</v>
      </c>
    </row>
    <row r="275" spans="1:3" ht="15.75" customHeight="1" x14ac:dyDescent="0.25">
      <c r="A275" s="3" t="s">
        <v>188</v>
      </c>
      <c r="B275" s="4" t="s">
        <v>18</v>
      </c>
      <c r="C275" t="s">
        <v>332</v>
      </c>
    </row>
    <row r="276" spans="1:3" ht="15.75" customHeight="1" x14ac:dyDescent="0.25">
      <c r="A276" s="3" t="s">
        <v>119</v>
      </c>
      <c r="B276" s="4" t="s">
        <v>18</v>
      </c>
      <c r="C276" t="s">
        <v>335</v>
      </c>
    </row>
    <row r="277" spans="1:3" ht="15.75" customHeight="1" x14ac:dyDescent="0.25">
      <c r="A277" s="3" t="s">
        <v>164</v>
      </c>
      <c r="B277" s="4" t="s">
        <v>3</v>
      </c>
      <c r="C277" t="s">
        <v>327</v>
      </c>
    </row>
    <row r="278" spans="1:3" ht="15.75" customHeight="1" x14ac:dyDescent="0.25">
      <c r="A278" s="3" t="s">
        <v>250</v>
      </c>
      <c r="B278" s="4" t="s">
        <v>5</v>
      </c>
      <c r="C278" t="s">
        <v>322</v>
      </c>
    </row>
    <row r="279" spans="1:3" ht="15.75" customHeight="1" x14ac:dyDescent="0.25">
      <c r="A279" s="3" t="s">
        <v>50</v>
      </c>
      <c r="B279" s="4" t="s">
        <v>18</v>
      </c>
      <c r="C279" t="s">
        <v>335</v>
      </c>
    </row>
    <row r="280" spans="1:3" ht="15.75" customHeight="1" x14ac:dyDescent="0.25">
      <c r="A280" s="3" t="s">
        <v>245</v>
      </c>
      <c r="B280" s="4" t="s">
        <v>3</v>
      </c>
      <c r="C280" t="s">
        <v>323</v>
      </c>
    </row>
    <row r="281" spans="1:3" ht="15.75" customHeight="1" x14ac:dyDescent="0.25">
      <c r="A281" s="3" t="s">
        <v>161</v>
      </c>
      <c r="B281" s="4" t="s">
        <v>18</v>
      </c>
      <c r="C281" t="s">
        <v>325</v>
      </c>
    </row>
    <row r="282" spans="1:3" ht="15.75" customHeight="1" x14ac:dyDescent="0.25">
      <c r="A282" s="3" t="s">
        <v>299</v>
      </c>
      <c r="B282" s="4" t="s">
        <v>3</v>
      </c>
      <c r="C282" t="s">
        <v>329</v>
      </c>
    </row>
    <row r="283" spans="1:3" ht="15.75" customHeight="1" x14ac:dyDescent="0.25">
      <c r="A283" s="3" t="s">
        <v>159</v>
      </c>
      <c r="B283" s="4" t="s">
        <v>28</v>
      </c>
      <c r="C283" t="s">
        <v>336</v>
      </c>
    </row>
    <row r="284" spans="1:3" ht="15.75" customHeight="1" x14ac:dyDescent="0.25">
      <c r="A284" s="3" t="s">
        <v>83</v>
      </c>
      <c r="B284" s="4" t="s">
        <v>28</v>
      </c>
      <c r="C284" t="s">
        <v>336</v>
      </c>
    </row>
    <row r="285" spans="1:3" ht="15.75" customHeight="1" x14ac:dyDescent="0.25">
      <c r="A285" s="3" t="s">
        <v>55</v>
      </c>
      <c r="B285" s="4" t="s">
        <v>18</v>
      </c>
      <c r="C285" t="s">
        <v>332</v>
      </c>
    </row>
    <row r="286" spans="1:3" ht="15.75" customHeight="1" x14ac:dyDescent="0.25">
      <c r="A286" s="3" t="s">
        <v>239</v>
      </c>
      <c r="B286" s="4" t="s">
        <v>3</v>
      </c>
      <c r="C286" t="s">
        <v>319</v>
      </c>
    </row>
    <row r="287" spans="1:3" ht="15.75" customHeight="1" x14ac:dyDescent="0.25">
      <c r="A287" s="3" t="s">
        <v>285</v>
      </c>
      <c r="B287" s="4" t="s">
        <v>28</v>
      </c>
      <c r="C287" t="s">
        <v>331</v>
      </c>
    </row>
    <row r="288" spans="1:3" ht="15.75" customHeight="1" x14ac:dyDescent="0.25">
      <c r="A288" s="3" t="s">
        <v>99</v>
      </c>
      <c r="B288" s="4" t="s">
        <v>3</v>
      </c>
      <c r="C288" t="s">
        <v>327</v>
      </c>
    </row>
    <row r="289" spans="1:3" ht="15.75" customHeight="1" x14ac:dyDescent="0.25">
      <c r="A289" s="3" t="s">
        <v>73</v>
      </c>
      <c r="B289" s="4" t="s">
        <v>5</v>
      </c>
      <c r="C289" t="s">
        <v>322</v>
      </c>
    </row>
    <row r="290" spans="1:3" ht="15.75" customHeight="1" x14ac:dyDescent="0.25">
      <c r="A290" s="3" t="s">
        <v>24</v>
      </c>
      <c r="B290" s="4" t="s">
        <v>3</v>
      </c>
      <c r="C290" t="s">
        <v>320</v>
      </c>
    </row>
    <row r="291" spans="1:3" ht="15.75" customHeight="1" x14ac:dyDescent="0.25">
      <c r="A291" s="3" t="s">
        <v>143</v>
      </c>
      <c r="B291" s="4" t="s">
        <v>5</v>
      </c>
      <c r="C291" t="s">
        <v>322</v>
      </c>
    </row>
    <row r="292" spans="1:3" ht="15.75" customHeight="1" x14ac:dyDescent="0.25">
      <c r="A292" s="3" t="s">
        <v>227</v>
      </c>
      <c r="B292" s="4" t="s">
        <v>5</v>
      </c>
      <c r="C292" t="s">
        <v>322</v>
      </c>
    </row>
    <row r="293" spans="1:3" ht="15.75" customHeight="1" x14ac:dyDescent="0.25">
      <c r="A293" s="3" t="s">
        <v>77</v>
      </c>
      <c r="B293" s="4" t="s">
        <v>3</v>
      </c>
      <c r="C293" t="s">
        <v>319</v>
      </c>
    </row>
    <row r="294" spans="1:3" ht="15.75" customHeight="1" x14ac:dyDescent="0.25">
      <c r="A294" s="3" t="s">
        <v>283</v>
      </c>
      <c r="B294" s="4" t="s">
        <v>3</v>
      </c>
      <c r="C294" t="s">
        <v>321</v>
      </c>
    </row>
    <row r="295" spans="1:3" ht="15.75" customHeight="1" x14ac:dyDescent="0.25">
      <c r="A295" s="3" t="s">
        <v>118</v>
      </c>
      <c r="B295" s="4" t="s">
        <v>3</v>
      </c>
      <c r="C295" t="s">
        <v>319</v>
      </c>
    </row>
    <row r="296" spans="1:3" ht="15.75" customHeight="1" x14ac:dyDescent="0.25">
      <c r="A296" s="3" t="s">
        <v>265</v>
      </c>
      <c r="B296" s="4" t="s">
        <v>28</v>
      </c>
      <c r="C296" t="s">
        <v>331</v>
      </c>
    </row>
  </sheetData>
  <autoFilter ref="A1:C296" xr:uid="{00000000-0001-0000-0000-000000000000}">
    <sortState xmlns:xlrd2="http://schemas.microsoft.com/office/spreadsheetml/2017/richdata2" ref="A3:C296">
      <sortCondition ref="C1:C296"/>
    </sortState>
  </autoFilter>
  <sortState xmlns:xlrd2="http://schemas.microsoft.com/office/spreadsheetml/2017/richdata2" ref="A2:B296">
    <sortCondition ref="A18:A296"/>
  </sortState>
  <phoneticPr fontId="8" type="noConversion"/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O802"/>
  <sheetViews>
    <sheetView showGridLines="0"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30.7109375" customWidth="1"/>
  </cols>
  <sheetData>
    <row r="1" spans="1:15" x14ac:dyDescent="0.25">
      <c r="A1" s="23" t="s">
        <v>0</v>
      </c>
      <c r="C1" s="5" t="s">
        <v>304</v>
      </c>
      <c r="D1" s="5" t="s">
        <v>305</v>
      </c>
      <c r="E1" s="5" t="s">
        <v>306</v>
      </c>
      <c r="F1" s="6" t="s">
        <v>307</v>
      </c>
      <c r="G1" s="7" t="s">
        <v>308</v>
      </c>
      <c r="H1" s="7" t="s">
        <v>309</v>
      </c>
      <c r="I1" s="8" t="s">
        <v>310</v>
      </c>
      <c r="J1" s="9" t="s">
        <v>311</v>
      </c>
      <c r="K1" s="9" t="s">
        <v>312</v>
      </c>
      <c r="L1" s="10" t="s">
        <v>313</v>
      </c>
      <c r="M1" s="9" t="s">
        <v>314</v>
      </c>
      <c r="N1" s="10" t="s">
        <v>315</v>
      </c>
      <c r="O1" s="9" t="s">
        <v>316</v>
      </c>
    </row>
    <row r="2" spans="1:15" x14ac:dyDescent="0.25">
      <c r="A2" s="20" t="s">
        <v>294</v>
      </c>
      <c r="C2" s="11">
        <v>2598</v>
      </c>
      <c r="D2" s="11">
        <v>1317</v>
      </c>
      <c r="E2" s="11">
        <v>1281</v>
      </c>
      <c r="F2" s="12">
        <f t="shared" ref="F2:F256" si="0">((B2/69)*12)</f>
        <v>0</v>
      </c>
      <c r="G2" s="13">
        <f t="shared" ref="G2:G256" si="1">(((B2/69)*12)/E2)*1000</f>
        <v>0</v>
      </c>
      <c r="H2" s="14">
        <f t="shared" ref="H2:H256" si="2">(((B2/69)*12)/E2)</f>
        <v>0</v>
      </c>
      <c r="I2" s="11">
        <v>93.45</v>
      </c>
      <c r="J2" s="15">
        <v>4.3</v>
      </c>
      <c r="K2" s="15">
        <v>3.8</v>
      </c>
      <c r="L2" s="16">
        <v>6.4</v>
      </c>
      <c r="M2" s="16">
        <v>6.7</v>
      </c>
      <c r="N2" s="15">
        <v>4.7</v>
      </c>
      <c r="O2" s="15">
        <v>4.3</v>
      </c>
    </row>
    <row r="3" spans="1:15" x14ac:dyDescent="0.25">
      <c r="A3" s="21" t="s">
        <v>94</v>
      </c>
      <c r="C3" s="11">
        <v>17392</v>
      </c>
      <c r="D3" s="11">
        <v>8718</v>
      </c>
      <c r="E3" s="11">
        <v>8674</v>
      </c>
      <c r="F3" s="12">
        <f t="shared" si="0"/>
        <v>0</v>
      </c>
      <c r="G3" s="13">
        <f t="shared" si="1"/>
        <v>0</v>
      </c>
      <c r="H3" s="14">
        <f t="shared" si="2"/>
        <v>0</v>
      </c>
      <c r="I3" s="11">
        <v>92.66</v>
      </c>
      <c r="J3" s="15" t="s">
        <v>303</v>
      </c>
      <c r="K3" s="15">
        <v>3.8</v>
      </c>
      <c r="L3" s="16">
        <v>5.9</v>
      </c>
      <c r="M3" s="16">
        <v>6.2</v>
      </c>
      <c r="N3" s="15">
        <v>5.2</v>
      </c>
      <c r="O3" s="15">
        <v>4.7</v>
      </c>
    </row>
    <row r="4" spans="1:15" x14ac:dyDescent="0.25">
      <c r="A4" s="21" t="s">
        <v>186</v>
      </c>
      <c r="C4" s="11">
        <v>10990</v>
      </c>
      <c r="D4" s="11">
        <v>5489</v>
      </c>
      <c r="E4" s="11">
        <v>5501</v>
      </c>
      <c r="F4" s="12">
        <f t="shared" si="0"/>
        <v>0</v>
      </c>
      <c r="G4" s="13">
        <f t="shared" si="1"/>
        <v>0</v>
      </c>
      <c r="H4" s="14">
        <f t="shared" si="2"/>
        <v>0</v>
      </c>
      <c r="I4" s="11">
        <v>97.11</v>
      </c>
      <c r="J4" s="15">
        <v>4</v>
      </c>
      <c r="K4" s="15" t="s">
        <v>303</v>
      </c>
      <c r="L4" s="16">
        <v>6.5</v>
      </c>
      <c r="M4" s="16">
        <v>6.4</v>
      </c>
      <c r="N4" s="15">
        <v>5</v>
      </c>
      <c r="O4" s="15">
        <v>4.7</v>
      </c>
    </row>
    <row r="5" spans="1:15" x14ac:dyDescent="0.25">
      <c r="A5" s="21" t="s">
        <v>200</v>
      </c>
      <c r="C5" s="11">
        <v>6055</v>
      </c>
      <c r="D5" s="11">
        <v>3052</v>
      </c>
      <c r="E5" s="11">
        <v>3003</v>
      </c>
      <c r="F5" s="12">
        <f t="shared" si="0"/>
        <v>0</v>
      </c>
      <c r="G5" s="13">
        <f t="shared" si="1"/>
        <v>0</v>
      </c>
      <c r="H5" s="14">
        <f t="shared" si="2"/>
        <v>0</v>
      </c>
      <c r="I5" s="11">
        <v>97.48</v>
      </c>
      <c r="J5" s="15" t="s">
        <v>303</v>
      </c>
      <c r="K5" s="15">
        <v>4</v>
      </c>
      <c r="L5" s="16">
        <v>5.5</v>
      </c>
      <c r="M5" s="16">
        <v>5.8</v>
      </c>
      <c r="N5" s="15">
        <v>4.3</v>
      </c>
      <c r="O5" s="15" t="s">
        <v>303</v>
      </c>
    </row>
    <row r="6" spans="1:15" x14ac:dyDescent="0.25">
      <c r="A6" s="21" t="s">
        <v>42</v>
      </c>
      <c r="C6" s="11">
        <v>6508</v>
      </c>
      <c r="D6" s="11">
        <v>3328</v>
      </c>
      <c r="E6" s="11">
        <v>3180</v>
      </c>
      <c r="F6" s="12">
        <f t="shared" si="0"/>
        <v>0</v>
      </c>
      <c r="G6" s="13">
        <f t="shared" si="1"/>
        <v>0</v>
      </c>
      <c r="H6" s="14">
        <f t="shared" si="2"/>
        <v>0</v>
      </c>
      <c r="I6" s="11">
        <v>95.88</v>
      </c>
      <c r="J6" s="15">
        <v>4.3</v>
      </c>
      <c r="K6" s="15">
        <v>4.2</v>
      </c>
      <c r="L6" s="16">
        <v>5.8</v>
      </c>
      <c r="M6" s="16">
        <v>6.3</v>
      </c>
      <c r="N6" s="15" t="s">
        <v>303</v>
      </c>
      <c r="O6" s="15">
        <v>4.4000000000000004</v>
      </c>
    </row>
    <row r="7" spans="1:15" x14ac:dyDescent="0.25">
      <c r="A7" s="21" t="s">
        <v>29</v>
      </c>
      <c r="C7" s="11">
        <v>6036</v>
      </c>
      <c r="D7" s="11">
        <v>3036</v>
      </c>
      <c r="E7" s="11">
        <v>3000</v>
      </c>
      <c r="F7" s="12">
        <f t="shared" si="0"/>
        <v>0</v>
      </c>
      <c r="G7" s="13">
        <f t="shared" si="1"/>
        <v>0</v>
      </c>
      <c r="H7" s="14">
        <f t="shared" si="2"/>
        <v>0</v>
      </c>
      <c r="I7" s="11">
        <v>92.52</v>
      </c>
      <c r="J7" s="15" t="s">
        <v>303</v>
      </c>
      <c r="K7" s="15" t="s">
        <v>303</v>
      </c>
      <c r="L7" s="16">
        <v>6.2</v>
      </c>
      <c r="M7" s="16">
        <v>5</v>
      </c>
      <c r="N7" s="15" t="s">
        <v>303</v>
      </c>
      <c r="O7" s="15">
        <v>4.3</v>
      </c>
    </row>
    <row r="8" spans="1:15" x14ac:dyDescent="0.25">
      <c r="A8" s="21" t="s">
        <v>134</v>
      </c>
      <c r="C8" s="11">
        <v>2839</v>
      </c>
      <c r="D8" s="11">
        <v>1450</v>
      </c>
      <c r="E8" s="11">
        <v>1389</v>
      </c>
      <c r="F8" s="12">
        <f t="shared" si="0"/>
        <v>0</v>
      </c>
      <c r="G8" s="13">
        <f t="shared" si="1"/>
        <v>0</v>
      </c>
      <c r="H8" s="14">
        <f t="shared" si="2"/>
        <v>0</v>
      </c>
      <c r="I8" s="11">
        <v>94.84</v>
      </c>
      <c r="J8" s="15" t="s">
        <v>303</v>
      </c>
      <c r="K8" s="15" t="s">
        <v>303</v>
      </c>
      <c r="L8" s="16" t="s">
        <v>303</v>
      </c>
      <c r="M8" s="16">
        <v>7.3</v>
      </c>
      <c r="N8" s="15">
        <v>5.5</v>
      </c>
      <c r="O8" s="15">
        <v>4.0999999999999996</v>
      </c>
    </row>
    <row r="9" spans="1:15" x14ac:dyDescent="0.25">
      <c r="A9" s="21" t="s">
        <v>213</v>
      </c>
      <c r="C9" s="11">
        <v>6743</v>
      </c>
      <c r="D9" s="11">
        <v>3383</v>
      </c>
      <c r="E9" s="11">
        <v>3360</v>
      </c>
      <c r="F9" s="12">
        <f t="shared" si="0"/>
        <v>0</v>
      </c>
      <c r="G9" s="13">
        <f t="shared" si="1"/>
        <v>0</v>
      </c>
      <c r="H9" s="14">
        <f t="shared" si="2"/>
        <v>0</v>
      </c>
      <c r="I9" s="11">
        <v>95.34</v>
      </c>
      <c r="J9" s="15">
        <v>4.0999999999999996</v>
      </c>
      <c r="K9" s="15">
        <v>4.0999999999999996</v>
      </c>
      <c r="L9" s="16">
        <v>6.6</v>
      </c>
      <c r="M9" s="16">
        <v>6.9</v>
      </c>
      <c r="N9" s="15">
        <v>5.2</v>
      </c>
      <c r="O9" s="15">
        <v>4.7</v>
      </c>
    </row>
    <row r="10" spans="1:15" x14ac:dyDescent="0.25">
      <c r="A10" s="21" t="s">
        <v>192</v>
      </c>
      <c r="C10" s="11">
        <v>10481</v>
      </c>
      <c r="D10" s="11">
        <v>5325</v>
      </c>
      <c r="E10" s="11">
        <v>5156</v>
      </c>
      <c r="F10" s="12">
        <f t="shared" si="0"/>
        <v>0</v>
      </c>
      <c r="G10" s="13">
        <f t="shared" si="1"/>
        <v>0</v>
      </c>
      <c r="H10" s="14">
        <f t="shared" si="2"/>
        <v>0</v>
      </c>
      <c r="I10" s="11">
        <v>94.01</v>
      </c>
      <c r="J10" s="15" t="s">
        <v>303</v>
      </c>
      <c r="K10" s="15" t="s">
        <v>303</v>
      </c>
      <c r="L10" s="16">
        <v>6.2</v>
      </c>
      <c r="M10" s="16">
        <v>6.2</v>
      </c>
      <c r="N10" s="15" t="s">
        <v>303</v>
      </c>
      <c r="O10" s="15">
        <v>4.4000000000000004</v>
      </c>
    </row>
    <row r="11" spans="1:15" x14ac:dyDescent="0.25">
      <c r="A11" s="21" t="s">
        <v>301</v>
      </c>
      <c r="C11" s="11">
        <v>1856</v>
      </c>
      <c r="D11" s="11">
        <v>939</v>
      </c>
      <c r="E11" s="11">
        <v>917</v>
      </c>
      <c r="F11" s="12">
        <f t="shared" si="0"/>
        <v>0</v>
      </c>
      <c r="G11" s="13">
        <f t="shared" si="1"/>
        <v>0</v>
      </c>
      <c r="H11" s="14">
        <f t="shared" si="2"/>
        <v>0</v>
      </c>
      <c r="I11" s="11">
        <v>97.84</v>
      </c>
      <c r="J11" s="15" t="s">
        <v>303</v>
      </c>
      <c r="K11" s="15">
        <v>5.5</v>
      </c>
      <c r="L11" s="16">
        <v>6.6</v>
      </c>
      <c r="M11" s="16">
        <v>6.3</v>
      </c>
      <c r="N11" s="15">
        <v>5.0999999999999996</v>
      </c>
      <c r="O11" s="15">
        <v>5.6</v>
      </c>
    </row>
    <row r="12" spans="1:15" x14ac:dyDescent="0.25">
      <c r="A12" s="21" t="s">
        <v>261</v>
      </c>
      <c r="C12" s="11">
        <v>5943</v>
      </c>
      <c r="D12" s="11">
        <v>2984</v>
      </c>
      <c r="E12" s="11">
        <v>2959</v>
      </c>
      <c r="F12" s="12">
        <f t="shared" si="0"/>
        <v>0</v>
      </c>
      <c r="G12" s="13">
        <f t="shared" si="1"/>
        <v>0</v>
      </c>
      <c r="H12" s="14">
        <f t="shared" si="2"/>
        <v>0</v>
      </c>
      <c r="I12" s="11">
        <v>92.62</v>
      </c>
      <c r="J12" s="15" t="s">
        <v>303</v>
      </c>
      <c r="K12" s="15" t="s">
        <v>303</v>
      </c>
      <c r="L12" s="16">
        <v>6.3</v>
      </c>
      <c r="M12" s="16">
        <v>6.7</v>
      </c>
      <c r="N12" s="15">
        <v>5.5</v>
      </c>
      <c r="O12" s="15">
        <v>5.2</v>
      </c>
    </row>
    <row r="13" spans="1:15" x14ac:dyDescent="0.25">
      <c r="A13" s="21" t="s">
        <v>269</v>
      </c>
      <c r="C13" s="11">
        <v>5358</v>
      </c>
      <c r="D13" s="11">
        <v>2737</v>
      </c>
      <c r="E13" s="11">
        <v>2621</v>
      </c>
      <c r="F13" s="12">
        <f t="shared" si="0"/>
        <v>0</v>
      </c>
      <c r="G13" s="13">
        <f t="shared" si="1"/>
        <v>0</v>
      </c>
      <c r="H13" s="14">
        <f t="shared" si="2"/>
        <v>0</v>
      </c>
      <c r="I13" s="11">
        <v>93.12</v>
      </c>
      <c r="J13" s="15">
        <v>4.4000000000000004</v>
      </c>
      <c r="K13" s="15">
        <v>4.3</v>
      </c>
      <c r="L13" s="16">
        <v>6.7</v>
      </c>
      <c r="M13" s="16">
        <v>7.3</v>
      </c>
      <c r="N13" s="15">
        <v>4.9000000000000004</v>
      </c>
      <c r="O13" s="15" t="s">
        <v>303</v>
      </c>
    </row>
    <row r="14" spans="1:15" x14ac:dyDescent="0.25">
      <c r="A14" s="21" t="s">
        <v>155</v>
      </c>
      <c r="C14" s="11">
        <v>8285</v>
      </c>
      <c r="D14" s="11">
        <v>4098</v>
      </c>
      <c r="E14" s="11">
        <v>4187</v>
      </c>
      <c r="F14" s="12">
        <f t="shared" si="0"/>
        <v>0</v>
      </c>
      <c r="G14" s="13">
        <f t="shared" si="1"/>
        <v>0</v>
      </c>
      <c r="H14" s="14">
        <f t="shared" si="2"/>
        <v>0</v>
      </c>
      <c r="I14" s="11">
        <v>91.4</v>
      </c>
      <c r="J14" s="15">
        <v>3.4</v>
      </c>
      <c r="K14" s="15">
        <v>4</v>
      </c>
      <c r="L14" s="16">
        <v>6</v>
      </c>
      <c r="M14" s="16">
        <v>6.2</v>
      </c>
      <c r="N14" s="15">
        <v>4.3</v>
      </c>
      <c r="O14" s="15">
        <v>4.5</v>
      </c>
    </row>
    <row r="15" spans="1:15" x14ac:dyDescent="0.25">
      <c r="A15" s="21" t="s">
        <v>266</v>
      </c>
      <c r="C15" s="11">
        <v>3593</v>
      </c>
      <c r="D15" s="11">
        <v>1862</v>
      </c>
      <c r="E15" s="11">
        <v>1731</v>
      </c>
      <c r="F15" s="12">
        <f t="shared" si="0"/>
        <v>0</v>
      </c>
      <c r="G15" s="13">
        <f t="shared" si="1"/>
        <v>0</v>
      </c>
      <c r="H15" s="14">
        <f t="shared" si="2"/>
        <v>0</v>
      </c>
      <c r="I15" s="11">
        <v>92.27</v>
      </c>
      <c r="J15" s="15" t="s">
        <v>303</v>
      </c>
      <c r="K15" s="15" t="s">
        <v>303</v>
      </c>
      <c r="L15" s="16" t="s">
        <v>303</v>
      </c>
      <c r="M15" s="16">
        <v>6.8</v>
      </c>
      <c r="N15" s="15" t="s">
        <v>303</v>
      </c>
      <c r="O15" s="15">
        <v>4.5</v>
      </c>
    </row>
    <row r="16" spans="1:15" x14ac:dyDescent="0.25">
      <c r="A16" s="21" t="s">
        <v>222</v>
      </c>
      <c r="C16" s="11">
        <v>11224</v>
      </c>
      <c r="D16" s="11">
        <v>5633</v>
      </c>
      <c r="E16" s="11">
        <v>5591</v>
      </c>
      <c r="F16" s="12">
        <f t="shared" si="0"/>
        <v>0</v>
      </c>
      <c r="G16" s="13">
        <f t="shared" si="1"/>
        <v>0</v>
      </c>
      <c r="H16" s="14">
        <f t="shared" si="2"/>
        <v>0</v>
      </c>
      <c r="I16" s="11">
        <v>98.44</v>
      </c>
      <c r="J16" s="15" t="s">
        <v>303</v>
      </c>
      <c r="K16" s="15" t="s">
        <v>303</v>
      </c>
      <c r="L16" s="16">
        <v>6.9</v>
      </c>
      <c r="M16" s="16">
        <v>6.9</v>
      </c>
      <c r="N16" s="15">
        <v>5.5</v>
      </c>
      <c r="O16" s="15">
        <v>5.8</v>
      </c>
    </row>
    <row r="17" spans="1:15" x14ac:dyDescent="0.25">
      <c r="A17" s="21" t="s">
        <v>243</v>
      </c>
      <c r="C17" s="11">
        <v>9811</v>
      </c>
      <c r="D17" s="11">
        <v>4911</v>
      </c>
      <c r="E17" s="11">
        <v>4900</v>
      </c>
      <c r="F17" s="12">
        <f t="shared" si="0"/>
        <v>0</v>
      </c>
      <c r="G17" s="13">
        <f t="shared" si="1"/>
        <v>0</v>
      </c>
      <c r="H17" s="14">
        <f t="shared" si="2"/>
        <v>0</v>
      </c>
      <c r="I17" s="11">
        <v>95.03</v>
      </c>
      <c r="J17" s="15" t="s">
        <v>303</v>
      </c>
      <c r="K17" s="15">
        <v>3.8</v>
      </c>
      <c r="L17" s="16">
        <v>6.2</v>
      </c>
      <c r="M17" s="16">
        <v>6.2</v>
      </c>
      <c r="N17" s="15">
        <v>5.7</v>
      </c>
      <c r="O17" s="15">
        <v>5.0999999999999996</v>
      </c>
    </row>
    <row r="18" spans="1:15" x14ac:dyDescent="0.25">
      <c r="A18" s="21" t="s">
        <v>260</v>
      </c>
      <c r="C18" s="11">
        <v>4378</v>
      </c>
      <c r="D18" s="11">
        <v>2235</v>
      </c>
      <c r="E18" s="11">
        <v>2143</v>
      </c>
      <c r="F18" s="12">
        <f t="shared" si="0"/>
        <v>0</v>
      </c>
      <c r="G18" s="13">
        <f t="shared" si="1"/>
        <v>0</v>
      </c>
      <c r="H18" s="14">
        <f t="shared" si="2"/>
        <v>0</v>
      </c>
      <c r="I18" s="11">
        <v>96.99</v>
      </c>
      <c r="J18" s="15">
        <v>4.8</v>
      </c>
      <c r="K18" s="15">
        <v>4.7</v>
      </c>
      <c r="L18" s="16">
        <v>7.7</v>
      </c>
      <c r="M18" s="16">
        <v>7.2</v>
      </c>
      <c r="N18" s="15">
        <v>6</v>
      </c>
      <c r="O18" s="15">
        <v>5.7</v>
      </c>
    </row>
    <row r="19" spans="1:15" x14ac:dyDescent="0.25">
      <c r="A19" s="21" t="s">
        <v>120</v>
      </c>
      <c r="C19" s="11">
        <v>45283</v>
      </c>
      <c r="D19" s="11">
        <v>22958</v>
      </c>
      <c r="E19" s="11">
        <v>22325</v>
      </c>
      <c r="F19" s="12">
        <f t="shared" si="0"/>
        <v>0</v>
      </c>
      <c r="G19" s="13">
        <f t="shared" si="1"/>
        <v>0</v>
      </c>
      <c r="H19" s="14">
        <f t="shared" si="2"/>
        <v>0</v>
      </c>
      <c r="I19" s="11">
        <v>97</v>
      </c>
      <c r="J19" s="15" t="s">
        <v>303</v>
      </c>
      <c r="K19" s="15">
        <v>4.0999999999999996</v>
      </c>
      <c r="L19" s="16">
        <v>5.8</v>
      </c>
      <c r="M19" s="16">
        <v>5.5</v>
      </c>
      <c r="N19" s="15">
        <v>5.0999999999999996</v>
      </c>
      <c r="O19" s="15">
        <v>4.3</v>
      </c>
    </row>
    <row r="20" spans="1:15" x14ac:dyDescent="0.25">
      <c r="A20" s="21" t="s">
        <v>17</v>
      </c>
      <c r="C20" s="11">
        <v>71922</v>
      </c>
      <c r="D20" s="11">
        <v>35225</v>
      </c>
      <c r="E20" s="11">
        <v>36697</v>
      </c>
      <c r="F20" s="12">
        <f t="shared" si="0"/>
        <v>0</v>
      </c>
      <c r="G20" s="13">
        <f t="shared" si="1"/>
        <v>0</v>
      </c>
      <c r="H20" s="14">
        <f t="shared" si="2"/>
        <v>0</v>
      </c>
      <c r="I20" s="11">
        <v>97.25</v>
      </c>
      <c r="J20" s="15">
        <v>4.0999999999999996</v>
      </c>
      <c r="K20" s="15">
        <v>3.9</v>
      </c>
      <c r="L20" s="16">
        <v>6</v>
      </c>
      <c r="M20" s="16">
        <v>5.9</v>
      </c>
      <c r="N20" s="15">
        <v>5</v>
      </c>
      <c r="O20" s="15">
        <v>4.9000000000000004</v>
      </c>
    </row>
    <row r="21" spans="1:15" x14ac:dyDescent="0.25">
      <c r="A21" s="21" t="s">
        <v>236</v>
      </c>
      <c r="C21" s="11">
        <v>8834</v>
      </c>
      <c r="D21" s="11">
        <v>4391</v>
      </c>
      <c r="E21" s="11">
        <v>4443</v>
      </c>
      <c r="F21" s="12">
        <f t="shared" si="0"/>
        <v>0</v>
      </c>
      <c r="G21" s="13">
        <f t="shared" si="1"/>
        <v>0</v>
      </c>
      <c r="H21" s="14">
        <f t="shared" si="2"/>
        <v>0</v>
      </c>
      <c r="I21" s="11">
        <v>95.5</v>
      </c>
      <c r="J21" s="15" t="s">
        <v>303</v>
      </c>
      <c r="K21" s="15" t="s">
        <v>303</v>
      </c>
      <c r="L21" s="16" t="s">
        <v>303</v>
      </c>
      <c r="M21" s="16">
        <v>6.5</v>
      </c>
      <c r="N21" s="15" t="s">
        <v>303</v>
      </c>
      <c r="O21" s="15">
        <v>5</v>
      </c>
    </row>
    <row r="22" spans="1:15" x14ac:dyDescent="0.25">
      <c r="A22" s="21" t="s">
        <v>195</v>
      </c>
      <c r="C22" s="11">
        <v>3556</v>
      </c>
      <c r="D22" s="11">
        <v>1735</v>
      </c>
      <c r="E22" s="11">
        <v>1821</v>
      </c>
      <c r="F22" s="12">
        <f t="shared" si="0"/>
        <v>0</v>
      </c>
      <c r="G22" s="13">
        <f t="shared" si="1"/>
        <v>0</v>
      </c>
      <c r="H22" s="14">
        <f t="shared" si="2"/>
        <v>0</v>
      </c>
      <c r="I22" s="11">
        <v>96.26</v>
      </c>
      <c r="J22" s="15">
        <v>4.9000000000000004</v>
      </c>
      <c r="K22" s="15" t="s">
        <v>303</v>
      </c>
      <c r="L22" s="16">
        <v>6.6</v>
      </c>
      <c r="M22" s="16">
        <v>7.3</v>
      </c>
      <c r="N22" s="15">
        <v>5.6</v>
      </c>
      <c r="O22" s="15">
        <v>5.4</v>
      </c>
    </row>
    <row r="23" spans="1:15" x14ac:dyDescent="0.25">
      <c r="A23" s="21" t="s">
        <v>298</v>
      </c>
      <c r="C23" s="11">
        <v>2510</v>
      </c>
      <c r="D23" s="11">
        <v>1325</v>
      </c>
      <c r="E23" s="11">
        <v>1185</v>
      </c>
      <c r="F23" s="12">
        <f t="shared" si="0"/>
        <v>0</v>
      </c>
      <c r="G23" s="13">
        <f t="shared" si="1"/>
        <v>0</v>
      </c>
      <c r="H23" s="14">
        <f t="shared" si="2"/>
        <v>0</v>
      </c>
      <c r="I23" s="11">
        <v>91.81</v>
      </c>
      <c r="J23" s="15">
        <v>4.5</v>
      </c>
      <c r="K23" s="15">
        <v>4.4000000000000004</v>
      </c>
      <c r="L23" s="16">
        <v>6.4</v>
      </c>
      <c r="M23" s="16">
        <v>6</v>
      </c>
      <c r="N23" s="15">
        <v>5.0999999999999996</v>
      </c>
      <c r="O23" s="15">
        <v>5</v>
      </c>
    </row>
    <row r="24" spans="1:15" x14ac:dyDescent="0.25">
      <c r="A24" s="21" t="s">
        <v>248</v>
      </c>
      <c r="C24" s="11">
        <v>8319</v>
      </c>
      <c r="D24" s="11">
        <v>4123</v>
      </c>
      <c r="E24" s="11">
        <v>4196</v>
      </c>
      <c r="F24" s="12">
        <f t="shared" si="0"/>
        <v>0</v>
      </c>
      <c r="G24" s="13">
        <f t="shared" si="1"/>
        <v>0</v>
      </c>
      <c r="H24" s="14">
        <f t="shared" si="2"/>
        <v>0</v>
      </c>
      <c r="I24" s="11">
        <v>95.99</v>
      </c>
      <c r="J24" s="15" t="s">
        <v>303</v>
      </c>
      <c r="K24" s="15" t="s">
        <v>303</v>
      </c>
      <c r="L24" s="16">
        <v>6.2</v>
      </c>
      <c r="M24" s="16">
        <v>5.9</v>
      </c>
      <c r="N24" s="15">
        <v>4.8</v>
      </c>
      <c r="O24" s="15">
        <v>4.0999999999999996</v>
      </c>
    </row>
    <row r="25" spans="1:15" x14ac:dyDescent="0.25">
      <c r="A25" s="21" t="s">
        <v>231</v>
      </c>
      <c r="C25" s="11">
        <v>3227</v>
      </c>
      <c r="D25" s="11">
        <v>1647</v>
      </c>
      <c r="E25" s="11">
        <v>1580</v>
      </c>
      <c r="F25" s="12">
        <f t="shared" si="0"/>
        <v>0</v>
      </c>
      <c r="G25" s="13">
        <f t="shared" si="1"/>
        <v>0</v>
      </c>
      <c r="H25" s="14">
        <f t="shared" si="2"/>
        <v>0</v>
      </c>
      <c r="I25" s="11">
        <v>96.54</v>
      </c>
      <c r="J25" s="15">
        <v>4.7</v>
      </c>
      <c r="K25" s="15" t="s">
        <v>303</v>
      </c>
      <c r="L25" s="16" t="s">
        <v>303</v>
      </c>
      <c r="M25" s="16">
        <v>6.8</v>
      </c>
      <c r="N25" s="15">
        <v>5.2</v>
      </c>
      <c r="O25" s="15">
        <v>5.6</v>
      </c>
    </row>
    <row r="26" spans="1:15" x14ac:dyDescent="0.25">
      <c r="A26" s="21" t="s">
        <v>292</v>
      </c>
      <c r="C26" s="11">
        <v>6780</v>
      </c>
      <c r="D26" s="11">
        <v>3476</v>
      </c>
      <c r="E26" s="11">
        <v>3304</v>
      </c>
      <c r="F26" s="12">
        <f t="shared" si="0"/>
        <v>0</v>
      </c>
      <c r="G26" s="13">
        <f t="shared" si="1"/>
        <v>0</v>
      </c>
      <c r="H26" s="14">
        <f t="shared" si="2"/>
        <v>0</v>
      </c>
      <c r="I26" s="11">
        <v>97.02</v>
      </c>
      <c r="J26" s="15" t="s">
        <v>303</v>
      </c>
      <c r="K26" s="15" t="s">
        <v>303</v>
      </c>
      <c r="L26" s="16">
        <v>6.2</v>
      </c>
      <c r="M26" s="16">
        <v>6</v>
      </c>
      <c r="N26" s="15">
        <v>4.4000000000000004</v>
      </c>
      <c r="O26" s="15">
        <v>4.5999999999999996</v>
      </c>
    </row>
    <row r="27" spans="1:15" x14ac:dyDescent="0.25">
      <c r="A27" s="21" t="s">
        <v>47</v>
      </c>
      <c r="C27" s="11">
        <v>15820</v>
      </c>
      <c r="D27" s="11">
        <v>7758</v>
      </c>
      <c r="E27" s="11">
        <v>8062</v>
      </c>
      <c r="F27" s="12">
        <f t="shared" si="0"/>
        <v>0</v>
      </c>
      <c r="G27" s="13">
        <f t="shared" si="1"/>
        <v>0</v>
      </c>
      <c r="H27" s="14">
        <f t="shared" si="2"/>
        <v>0</v>
      </c>
      <c r="I27" s="11">
        <v>96.96</v>
      </c>
      <c r="J27" s="15" t="s">
        <v>303</v>
      </c>
      <c r="K27" s="15" t="s">
        <v>303</v>
      </c>
      <c r="L27" s="16">
        <v>6</v>
      </c>
      <c r="M27" s="16">
        <v>5.2</v>
      </c>
      <c r="N27" s="15">
        <v>4.8</v>
      </c>
      <c r="O27" s="15">
        <v>4.0999999999999996</v>
      </c>
    </row>
    <row r="28" spans="1:15" x14ac:dyDescent="0.25">
      <c r="A28" s="21" t="s">
        <v>90</v>
      </c>
      <c r="C28" s="11">
        <v>14912</v>
      </c>
      <c r="D28" s="11">
        <v>7430</v>
      </c>
      <c r="E28" s="11">
        <v>7482</v>
      </c>
      <c r="F28" s="12">
        <f t="shared" si="0"/>
        <v>0</v>
      </c>
      <c r="G28" s="13">
        <f t="shared" si="1"/>
        <v>0</v>
      </c>
      <c r="H28" s="14">
        <f t="shared" si="2"/>
        <v>0</v>
      </c>
      <c r="I28" s="11">
        <v>98.81</v>
      </c>
      <c r="J28" s="15" t="s">
        <v>303</v>
      </c>
      <c r="K28" s="15" t="s">
        <v>303</v>
      </c>
      <c r="L28" s="16">
        <v>6</v>
      </c>
      <c r="M28" s="16">
        <v>5.3</v>
      </c>
      <c r="N28" s="15" t="s">
        <v>303</v>
      </c>
      <c r="O28" s="15">
        <v>4.0999999999999996</v>
      </c>
    </row>
    <row r="29" spans="1:15" x14ac:dyDescent="0.25">
      <c r="A29" s="21" t="s">
        <v>40</v>
      </c>
      <c r="C29" s="11">
        <v>139155</v>
      </c>
      <c r="D29" s="11">
        <v>65726</v>
      </c>
      <c r="E29" s="11">
        <v>73429</v>
      </c>
      <c r="F29" s="12">
        <f t="shared" si="0"/>
        <v>0</v>
      </c>
      <c r="G29" s="13">
        <f t="shared" si="1"/>
        <v>0</v>
      </c>
      <c r="H29" s="14">
        <f t="shared" si="2"/>
        <v>0</v>
      </c>
      <c r="I29" s="11">
        <v>96.71</v>
      </c>
      <c r="J29" s="15" t="s">
        <v>303</v>
      </c>
      <c r="K29" s="15">
        <v>3.3</v>
      </c>
      <c r="L29" s="16">
        <v>5.9</v>
      </c>
      <c r="M29" s="16">
        <v>5.9</v>
      </c>
      <c r="N29" s="15">
        <v>5.0999999999999996</v>
      </c>
      <c r="O29" s="15">
        <v>4.9000000000000004</v>
      </c>
    </row>
    <row r="30" spans="1:15" x14ac:dyDescent="0.25">
      <c r="A30" s="21" t="s">
        <v>88</v>
      </c>
      <c r="C30" s="11">
        <v>15669</v>
      </c>
      <c r="D30" s="11">
        <v>7652</v>
      </c>
      <c r="E30" s="11">
        <v>8017</v>
      </c>
      <c r="F30" s="12">
        <f t="shared" si="0"/>
        <v>0</v>
      </c>
      <c r="G30" s="13">
        <f t="shared" si="1"/>
        <v>0</v>
      </c>
      <c r="H30" s="14">
        <f t="shared" si="2"/>
        <v>0</v>
      </c>
      <c r="I30" s="11">
        <v>96.67</v>
      </c>
      <c r="J30" s="15" t="s">
        <v>303</v>
      </c>
      <c r="K30" s="15" t="s">
        <v>303</v>
      </c>
      <c r="L30" s="16">
        <v>5.6</v>
      </c>
      <c r="M30" s="16">
        <v>5.4</v>
      </c>
      <c r="N30" s="15">
        <v>4.5999999999999996</v>
      </c>
      <c r="O30" s="15">
        <v>4.5</v>
      </c>
    </row>
    <row r="31" spans="1:15" x14ac:dyDescent="0.25">
      <c r="A31" s="21" t="s">
        <v>75</v>
      </c>
      <c r="C31" s="11">
        <v>27127</v>
      </c>
      <c r="D31" s="11">
        <v>13380</v>
      </c>
      <c r="E31" s="11">
        <v>13747</v>
      </c>
      <c r="F31" s="12">
        <f t="shared" si="0"/>
        <v>0</v>
      </c>
      <c r="G31" s="13">
        <f t="shared" si="1"/>
        <v>0</v>
      </c>
      <c r="H31" s="14">
        <f t="shared" si="2"/>
        <v>0</v>
      </c>
      <c r="I31" s="11">
        <v>97.49</v>
      </c>
      <c r="J31" s="15" t="s">
        <v>303</v>
      </c>
      <c r="K31" s="15" t="s">
        <v>303</v>
      </c>
      <c r="L31" s="16">
        <v>6</v>
      </c>
      <c r="M31" s="16">
        <v>5.8</v>
      </c>
      <c r="N31" s="15">
        <v>4.9000000000000004</v>
      </c>
      <c r="O31" s="15">
        <v>5.0999999999999996</v>
      </c>
    </row>
    <row r="32" spans="1:15" x14ac:dyDescent="0.25">
      <c r="A32" s="21" t="s">
        <v>31</v>
      </c>
      <c r="C32" s="11">
        <v>15981</v>
      </c>
      <c r="D32" s="11">
        <v>7996</v>
      </c>
      <c r="E32" s="11">
        <v>7985</v>
      </c>
      <c r="F32" s="12">
        <f t="shared" si="0"/>
        <v>0</v>
      </c>
      <c r="G32" s="13">
        <f t="shared" si="1"/>
        <v>0</v>
      </c>
      <c r="H32" s="14">
        <f t="shared" si="2"/>
        <v>0</v>
      </c>
      <c r="I32" s="11">
        <v>96.56</v>
      </c>
      <c r="J32" s="15" t="s">
        <v>303</v>
      </c>
      <c r="K32" s="15" t="s">
        <v>303</v>
      </c>
      <c r="L32" s="16">
        <v>6</v>
      </c>
      <c r="M32" s="16">
        <v>5.8</v>
      </c>
      <c r="N32" s="15">
        <v>4.9000000000000004</v>
      </c>
      <c r="O32" s="15">
        <v>4.2</v>
      </c>
    </row>
    <row r="33" spans="1:15" x14ac:dyDescent="0.25">
      <c r="A33" s="21" t="s">
        <v>232</v>
      </c>
      <c r="C33" s="11">
        <v>3144</v>
      </c>
      <c r="D33" s="11">
        <v>1657</v>
      </c>
      <c r="E33" s="11">
        <v>1487</v>
      </c>
      <c r="F33" s="12">
        <f t="shared" si="0"/>
        <v>0</v>
      </c>
      <c r="G33" s="13">
        <f t="shared" si="1"/>
        <v>0</v>
      </c>
      <c r="H33" s="14">
        <f t="shared" si="2"/>
        <v>0</v>
      </c>
      <c r="I33" s="11">
        <v>92.81</v>
      </c>
      <c r="J33" s="15" t="s">
        <v>303</v>
      </c>
      <c r="K33" s="15" t="s">
        <v>303</v>
      </c>
      <c r="L33" s="16" t="s">
        <v>303</v>
      </c>
      <c r="M33" s="16" t="s">
        <v>303</v>
      </c>
      <c r="N33" s="15" t="s">
        <v>303</v>
      </c>
      <c r="O33" s="15" t="s">
        <v>303</v>
      </c>
    </row>
    <row r="34" spans="1:15" x14ac:dyDescent="0.25">
      <c r="A34" s="21" t="s">
        <v>264</v>
      </c>
      <c r="C34" s="11">
        <v>1668</v>
      </c>
      <c r="D34" s="11">
        <v>869</v>
      </c>
      <c r="E34" s="11">
        <v>799</v>
      </c>
      <c r="F34" s="12">
        <f t="shared" si="0"/>
        <v>0</v>
      </c>
      <c r="G34" s="13">
        <f t="shared" si="1"/>
        <v>0</v>
      </c>
      <c r="H34" s="14">
        <f t="shared" si="2"/>
        <v>0</v>
      </c>
      <c r="I34" s="11">
        <v>92.12</v>
      </c>
      <c r="J34" s="15">
        <v>5.0999999999999996</v>
      </c>
      <c r="K34" s="15" t="s">
        <v>303</v>
      </c>
      <c r="L34" s="16">
        <v>6.5</v>
      </c>
      <c r="M34" s="16">
        <v>6.1</v>
      </c>
      <c r="N34" s="15">
        <v>5</v>
      </c>
      <c r="O34" s="15" t="s">
        <v>303</v>
      </c>
    </row>
    <row r="35" spans="1:15" x14ac:dyDescent="0.25">
      <c r="A35" s="21" t="s">
        <v>6</v>
      </c>
      <c r="C35" s="11">
        <v>45369</v>
      </c>
      <c r="D35" s="11">
        <v>22379</v>
      </c>
      <c r="E35" s="11">
        <v>22990</v>
      </c>
      <c r="F35" s="12">
        <f t="shared" si="0"/>
        <v>0</v>
      </c>
      <c r="G35" s="13">
        <f t="shared" si="1"/>
        <v>0</v>
      </c>
      <c r="H35" s="14">
        <f t="shared" si="2"/>
        <v>0</v>
      </c>
      <c r="I35" s="11">
        <v>97.56</v>
      </c>
      <c r="J35" s="15" t="s">
        <v>303</v>
      </c>
      <c r="K35" s="15">
        <v>3.2</v>
      </c>
      <c r="L35" s="16">
        <v>5.8</v>
      </c>
      <c r="M35" s="16">
        <v>5.8</v>
      </c>
      <c r="N35" s="15">
        <v>5.0999999999999996</v>
      </c>
      <c r="O35" s="15">
        <v>4.8</v>
      </c>
    </row>
    <row r="36" spans="1:15" x14ac:dyDescent="0.25">
      <c r="A36" s="21" t="s">
        <v>92</v>
      </c>
      <c r="C36" s="11">
        <v>5872</v>
      </c>
      <c r="D36" s="11">
        <v>3018</v>
      </c>
      <c r="E36" s="11">
        <v>2854</v>
      </c>
      <c r="F36" s="12">
        <f t="shared" si="0"/>
        <v>0</v>
      </c>
      <c r="G36" s="13">
        <f t="shared" si="1"/>
        <v>0</v>
      </c>
      <c r="H36" s="14">
        <f t="shared" si="2"/>
        <v>0</v>
      </c>
      <c r="I36" s="11">
        <v>95.61</v>
      </c>
      <c r="J36" s="15" t="s">
        <v>303</v>
      </c>
      <c r="K36" s="15">
        <v>3.8</v>
      </c>
      <c r="L36" s="16" t="s">
        <v>303</v>
      </c>
      <c r="M36" s="16" t="s">
        <v>303</v>
      </c>
      <c r="N36" s="15" t="s">
        <v>303</v>
      </c>
      <c r="O36" s="15" t="s">
        <v>303</v>
      </c>
    </row>
    <row r="37" spans="1:15" x14ac:dyDescent="0.25">
      <c r="A37" s="21" t="s">
        <v>179</v>
      </c>
      <c r="C37" s="11">
        <v>2658</v>
      </c>
      <c r="D37" s="11">
        <v>1335</v>
      </c>
      <c r="E37" s="11">
        <v>1323</v>
      </c>
      <c r="F37" s="12">
        <f t="shared" si="0"/>
        <v>0</v>
      </c>
      <c r="G37" s="13">
        <f t="shared" si="1"/>
        <v>0</v>
      </c>
      <c r="H37" s="14">
        <f t="shared" si="2"/>
        <v>0</v>
      </c>
      <c r="I37" s="11">
        <v>92.89</v>
      </c>
      <c r="J37" s="15" t="s">
        <v>303</v>
      </c>
      <c r="K37" s="15">
        <v>4</v>
      </c>
      <c r="L37" s="16">
        <v>6.5</v>
      </c>
      <c r="M37" s="16">
        <v>6.8</v>
      </c>
      <c r="N37" s="15">
        <v>5.2</v>
      </c>
      <c r="O37" s="15">
        <v>4.8</v>
      </c>
    </row>
    <row r="38" spans="1:15" x14ac:dyDescent="0.25">
      <c r="A38" s="21" t="s">
        <v>208</v>
      </c>
      <c r="C38" s="11">
        <v>10520</v>
      </c>
      <c r="D38" s="11">
        <v>5355</v>
      </c>
      <c r="E38" s="11">
        <v>5165</v>
      </c>
      <c r="F38" s="12">
        <f t="shared" si="0"/>
        <v>0</v>
      </c>
      <c r="G38" s="13">
        <f t="shared" si="1"/>
        <v>0</v>
      </c>
      <c r="H38" s="14">
        <f t="shared" si="2"/>
        <v>0</v>
      </c>
      <c r="I38" s="11">
        <v>97.11</v>
      </c>
      <c r="J38" s="15">
        <v>4.5</v>
      </c>
      <c r="K38" s="15">
        <v>4.0999999999999996</v>
      </c>
      <c r="L38" s="16">
        <v>6.3</v>
      </c>
      <c r="M38" s="16">
        <v>5.9</v>
      </c>
      <c r="N38" s="15">
        <v>5.0999999999999996</v>
      </c>
      <c r="O38" s="15">
        <v>4.5999999999999996</v>
      </c>
    </row>
    <row r="39" spans="1:15" x14ac:dyDescent="0.25">
      <c r="A39" s="21" t="s">
        <v>93</v>
      </c>
      <c r="C39" s="11">
        <v>76773</v>
      </c>
      <c r="D39" s="11">
        <v>37562</v>
      </c>
      <c r="E39" s="11">
        <v>39211</v>
      </c>
      <c r="F39" s="12">
        <f t="shared" si="0"/>
        <v>0</v>
      </c>
      <c r="G39" s="13">
        <f t="shared" si="1"/>
        <v>0</v>
      </c>
      <c r="H39" s="14">
        <f t="shared" si="2"/>
        <v>0</v>
      </c>
      <c r="I39" s="11">
        <v>97.15</v>
      </c>
      <c r="J39" s="15" t="s">
        <v>303</v>
      </c>
      <c r="K39" s="15">
        <v>3.8</v>
      </c>
      <c r="L39" s="16">
        <v>5.6</v>
      </c>
      <c r="M39" s="16">
        <v>5.5</v>
      </c>
      <c r="N39" s="15">
        <v>4.4000000000000004</v>
      </c>
      <c r="O39" s="15">
        <v>4.3</v>
      </c>
    </row>
    <row r="40" spans="1:15" x14ac:dyDescent="0.25">
      <c r="A40" s="21" t="s">
        <v>4</v>
      </c>
      <c r="C40" s="11">
        <v>361261</v>
      </c>
      <c r="D40" s="11">
        <v>176383</v>
      </c>
      <c r="E40" s="11">
        <v>184878</v>
      </c>
      <c r="F40" s="12">
        <f t="shared" si="0"/>
        <v>0</v>
      </c>
      <c r="G40" s="13">
        <f t="shared" si="1"/>
        <v>0</v>
      </c>
      <c r="H40" s="14">
        <f t="shared" si="2"/>
        <v>0</v>
      </c>
      <c r="I40" s="11">
        <v>98.61</v>
      </c>
      <c r="J40" s="15" t="s">
        <v>303</v>
      </c>
      <c r="K40" s="15">
        <v>3.9</v>
      </c>
      <c r="L40" s="16">
        <v>6.6</v>
      </c>
      <c r="M40" s="16">
        <v>6.3</v>
      </c>
      <c r="N40" s="15">
        <v>5.3</v>
      </c>
      <c r="O40" s="15">
        <v>5.2</v>
      </c>
    </row>
    <row r="41" spans="1:15" x14ac:dyDescent="0.25">
      <c r="A41" s="21" t="s">
        <v>154</v>
      </c>
      <c r="C41" s="11">
        <v>3515</v>
      </c>
      <c r="D41" s="11">
        <v>1834</v>
      </c>
      <c r="E41" s="11">
        <v>1681</v>
      </c>
      <c r="F41" s="12">
        <f t="shared" si="0"/>
        <v>0</v>
      </c>
      <c r="G41" s="13">
        <f t="shared" si="1"/>
        <v>0</v>
      </c>
      <c r="H41" s="14">
        <f t="shared" si="2"/>
        <v>0</v>
      </c>
      <c r="I41" s="11">
        <v>91.98</v>
      </c>
      <c r="J41" s="15" t="s">
        <v>303</v>
      </c>
      <c r="K41" s="15">
        <v>4.0999999999999996</v>
      </c>
      <c r="L41" s="16">
        <v>5.2</v>
      </c>
      <c r="M41" s="16">
        <v>4.9000000000000004</v>
      </c>
      <c r="N41" s="15">
        <v>4.0999999999999996</v>
      </c>
      <c r="O41" s="15">
        <v>4.4000000000000004</v>
      </c>
    </row>
    <row r="42" spans="1:15" x14ac:dyDescent="0.25">
      <c r="A42" s="21" t="s">
        <v>277</v>
      </c>
      <c r="C42" s="11">
        <v>4026</v>
      </c>
      <c r="D42" s="11">
        <v>2055</v>
      </c>
      <c r="E42" s="11">
        <v>1971</v>
      </c>
      <c r="F42" s="12">
        <f t="shared" si="0"/>
        <v>0</v>
      </c>
      <c r="G42" s="13">
        <f t="shared" si="1"/>
        <v>0</v>
      </c>
      <c r="H42" s="14">
        <f t="shared" si="2"/>
        <v>0</v>
      </c>
      <c r="I42" s="11">
        <v>94.08</v>
      </c>
      <c r="J42" s="15">
        <v>3.7</v>
      </c>
      <c r="K42" s="15">
        <v>4</v>
      </c>
      <c r="L42" s="16">
        <v>6.3</v>
      </c>
      <c r="M42" s="16">
        <v>6.5</v>
      </c>
      <c r="N42" s="15">
        <v>5.2</v>
      </c>
      <c r="O42" s="15">
        <v>5.3</v>
      </c>
    </row>
    <row r="43" spans="1:15" x14ac:dyDescent="0.25">
      <c r="A43" s="21" t="s">
        <v>177</v>
      </c>
      <c r="C43" s="11">
        <v>2777</v>
      </c>
      <c r="D43" s="11">
        <v>1425</v>
      </c>
      <c r="E43" s="11">
        <v>1352</v>
      </c>
      <c r="F43" s="12">
        <f t="shared" si="0"/>
        <v>0</v>
      </c>
      <c r="G43" s="13">
        <f t="shared" si="1"/>
        <v>0</v>
      </c>
      <c r="H43" s="14">
        <f t="shared" si="2"/>
        <v>0</v>
      </c>
      <c r="I43" s="11">
        <v>93.56</v>
      </c>
      <c r="J43" s="15">
        <v>3.9</v>
      </c>
      <c r="K43" s="15" t="s">
        <v>303</v>
      </c>
      <c r="L43" s="16">
        <v>6.1</v>
      </c>
      <c r="M43" s="16">
        <v>6.4</v>
      </c>
      <c r="N43" s="15">
        <v>4.4000000000000004</v>
      </c>
      <c r="O43" s="15">
        <v>4.2</v>
      </c>
    </row>
    <row r="44" spans="1:15" x14ac:dyDescent="0.25">
      <c r="A44" s="21" t="s">
        <v>203</v>
      </c>
      <c r="C44" s="11">
        <v>2187</v>
      </c>
      <c r="D44" s="11">
        <v>1105</v>
      </c>
      <c r="E44" s="11">
        <v>1082</v>
      </c>
      <c r="F44" s="12">
        <f t="shared" si="0"/>
        <v>0</v>
      </c>
      <c r="G44" s="13">
        <f t="shared" si="1"/>
        <v>0</v>
      </c>
      <c r="H44" s="14">
        <f t="shared" si="2"/>
        <v>0</v>
      </c>
      <c r="I44" s="11">
        <v>93.1</v>
      </c>
      <c r="J44" s="15">
        <v>4.3</v>
      </c>
      <c r="K44" s="15" t="s">
        <v>303</v>
      </c>
      <c r="L44" s="16">
        <v>6.4</v>
      </c>
      <c r="M44" s="16">
        <v>6.5</v>
      </c>
      <c r="N44" s="15">
        <v>4.5</v>
      </c>
      <c r="O44" s="15" t="s">
        <v>303</v>
      </c>
    </row>
    <row r="45" spans="1:15" x14ac:dyDescent="0.25">
      <c r="A45" s="21" t="s">
        <v>60</v>
      </c>
      <c r="C45" s="11">
        <v>25058</v>
      </c>
      <c r="D45" s="11">
        <v>12345</v>
      </c>
      <c r="E45" s="11">
        <v>12713</v>
      </c>
      <c r="F45" s="12">
        <f t="shared" si="0"/>
        <v>0</v>
      </c>
      <c r="G45" s="13">
        <f t="shared" si="1"/>
        <v>0</v>
      </c>
      <c r="H45" s="14">
        <f t="shared" si="2"/>
        <v>0</v>
      </c>
      <c r="I45" s="11">
        <v>94.41</v>
      </c>
      <c r="J45" s="15" t="s">
        <v>303</v>
      </c>
      <c r="K45" s="15">
        <v>4.4000000000000004</v>
      </c>
      <c r="L45" s="16">
        <v>6</v>
      </c>
      <c r="M45" s="16">
        <v>6.2</v>
      </c>
      <c r="N45" s="15">
        <v>5.5</v>
      </c>
      <c r="O45" s="15" t="s">
        <v>303</v>
      </c>
    </row>
    <row r="46" spans="1:15" x14ac:dyDescent="0.25">
      <c r="A46" s="21" t="s">
        <v>69</v>
      </c>
      <c r="C46" s="11">
        <v>8418</v>
      </c>
      <c r="D46" s="11">
        <v>4232</v>
      </c>
      <c r="E46" s="11">
        <v>4186</v>
      </c>
      <c r="F46" s="12">
        <f t="shared" si="0"/>
        <v>0</v>
      </c>
      <c r="G46" s="13">
        <f t="shared" si="1"/>
        <v>0</v>
      </c>
      <c r="H46" s="14">
        <f t="shared" si="2"/>
        <v>0</v>
      </c>
      <c r="I46" s="11">
        <v>98.12</v>
      </c>
      <c r="J46" s="15">
        <v>3.4</v>
      </c>
      <c r="K46" s="15" t="s">
        <v>303</v>
      </c>
      <c r="L46" s="16">
        <v>5.2</v>
      </c>
      <c r="M46" s="16">
        <v>5.5</v>
      </c>
      <c r="N46" s="15" t="s">
        <v>303</v>
      </c>
      <c r="O46" s="15" t="s">
        <v>303</v>
      </c>
    </row>
    <row r="47" spans="1:15" x14ac:dyDescent="0.25">
      <c r="A47" s="21" t="s">
        <v>262</v>
      </c>
      <c r="C47" s="11">
        <v>5363</v>
      </c>
      <c r="D47" s="11">
        <v>2715</v>
      </c>
      <c r="E47" s="11">
        <v>2648</v>
      </c>
      <c r="F47" s="12">
        <f t="shared" si="0"/>
        <v>0</v>
      </c>
      <c r="G47" s="13">
        <f t="shared" si="1"/>
        <v>0</v>
      </c>
      <c r="H47" s="14">
        <f t="shared" si="2"/>
        <v>0</v>
      </c>
      <c r="I47" s="11">
        <v>97.27</v>
      </c>
      <c r="J47" s="15" t="s">
        <v>303</v>
      </c>
      <c r="K47" s="15">
        <v>4.7</v>
      </c>
      <c r="L47" s="16">
        <v>6.1</v>
      </c>
      <c r="M47" s="16">
        <v>6.3</v>
      </c>
      <c r="N47" s="15">
        <v>4.7</v>
      </c>
      <c r="O47" s="15">
        <v>4.9000000000000004</v>
      </c>
    </row>
    <row r="48" spans="1:15" x14ac:dyDescent="0.25">
      <c r="A48" s="21" t="s">
        <v>101</v>
      </c>
      <c r="C48" s="11">
        <v>33773</v>
      </c>
      <c r="D48" s="11">
        <v>16741</v>
      </c>
      <c r="E48" s="11">
        <v>17032</v>
      </c>
      <c r="F48" s="12">
        <f t="shared" si="0"/>
        <v>0</v>
      </c>
      <c r="G48" s="13">
        <f t="shared" si="1"/>
        <v>0</v>
      </c>
      <c r="H48" s="14">
        <f t="shared" si="2"/>
        <v>0</v>
      </c>
      <c r="I48" s="11">
        <v>97.53</v>
      </c>
      <c r="J48" s="15">
        <v>3.8</v>
      </c>
      <c r="K48" s="15" t="s">
        <v>303</v>
      </c>
      <c r="L48" s="16">
        <v>6.1</v>
      </c>
      <c r="M48" s="16">
        <v>5.5</v>
      </c>
      <c r="N48" s="15">
        <v>4.5999999999999996</v>
      </c>
      <c r="O48" s="15">
        <v>4.2</v>
      </c>
    </row>
    <row r="49" spans="1:15" x14ac:dyDescent="0.25">
      <c r="A49" s="21" t="s">
        <v>302</v>
      </c>
      <c r="C49" s="11">
        <v>4026</v>
      </c>
      <c r="D49" s="11">
        <v>1969</v>
      </c>
      <c r="E49" s="11">
        <v>2057</v>
      </c>
      <c r="F49" s="12">
        <f t="shared" si="0"/>
        <v>0</v>
      </c>
      <c r="G49" s="13">
        <f t="shared" si="1"/>
        <v>0</v>
      </c>
      <c r="H49" s="14">
        <f t="shared" si="2"/>
        <v>0</v>
      </c>
      <c r="I49" s="11">
        <v>97.14</v>
      </c>
      <c r="J49" s="15" t="s">
        <v>303</v>
      </c>
      <c r="K49" s="15" t="s">
        <v>303</v>
      </c>
      <c r="L49" s="16">
        <v>7.3</v>
      </c>
      <c r="M49" s="16">
        <v>6.5</v>
      </c>
      <c r="N49" s="15">
        <v>4.5</v>
      </c>
      <c r="O49" s="15">
        <v>5.4</v>
      </c>
    </row>
    <row r="50" spans="1:15" x14ac:dyDescent="0.25">
      <c r="A50" s="21" t="s">
        <v>124</v>
      </c>
      <c r="C50" s="11">
        <v>2489</v>
      </c>
      <c r="D50" s="11">
        <v>1249</v>
      </c>
      <c r="E50" s="11">
        <v>1240</v>
      </c>
      <c r="F50" s="12">
        <f t="shared" si="0"/>
        <v>0</v>
      </c>
      <c r="G50" s="13">
        <f t="shared" si="1"/>
        <v>0</v>
      </c>
      <c r="H50" s="14">
        <f t="shared" si="2"/>
        <v>0</v>
      </c>
      <c r="I50" s="11">
        <v>91.72</v>
      </c>
      <c r="J50" s="15" t="s">
        <v>303</v>
      </c>
      <c r="K50" s="15">
        <v>3.9</v>
      </c>
      <c r="L50" s="16">
        <v>5.8</v>
      </c>
      <c r="M50" s="16">
        <v>5.8</v>
      </c>
      <c r="N50" s="15">
        <v>4.9000000000000004</v>
      </c>
      <c r="O50" s="15" t="s">
        <v>303</v>
      </c>
    </row>
    <row r="51" spans="1:15" x14ac:dyDescent="0.25">
      <c r="A51" s="21" t="s">
        <v>33</v>
      </c>
      <c r="C51" s="11">
        <v>141385</v>
      </c>
      <c r="D51" s="11">
        <v>69277</v>
      </c>
      <c r="E51" s="11">
        <v>72108</v>
      </c>
      <c r="F51" s="12">
        <f t="shared" si="0"/>
        <v>0</v>
      </c>
      <c r="G51" s="13">
        <f t="shared" si="1"/>
        <v>0</v>
      </c>
      <c r="H51" s="14">
        <f t="shared" si="2"/>
        <v>0</v>
      </c>
      <c r="I51" s="11">
        <v>98.15</v>
      </c>
      <c r="J51" s="15" t="s">
        <v>303</v>
      </c>
      <c r="K51" s="15">
        <v>4</v>
      </c>
      <c r="L51" s="16">
        <v>6.4</v>
      </c>
      <c r="M51" s="16">
        <v>6.4</v>
      </c>
      <c r="N51" s="15">
        <v>5.4</v>
      </c>
      <c r="O51" s="15">
        <v>5.0999999999999996</v>
      </c>
    </row>
    <row r="52" spans="1:15" x14ac:dyDescent="0.25">
      <c r="A52" s="21" t="s">
        <v>15</v>
      </c>
      <c r="C52" s="11">
        <v>73720</v>
      </c>
      <c r="D52" s="11">
        <v>36527</v>
      </c>
      <c r="E52" s="11">
        <v>37193</v>
      </c>
      <c r="F52" s="12">
        <f t="shared" si="0"/>
        <v>0</v>
      </c>
      <c r="G52" s="13">
        <f t="shared" si="1"/>
        <v>0</v>
      </c>
      <c r="H52" s="14">
        <f t="shared" si="2"/>
        <v>0</v>
      </c>
      <c r="I52" s="11">
        <v>96.42</v>
      </c>
      <c r="J52" s="15">
        <v>3.5</v>
      </c>
      <c r="K52" s="15">
        <v>3.9</v>
      </c>
      <c r="L52" s="16">
        <v>5.9</v>
      </c>
      <c r="M52" s="16">
        <v>6.1</v>
      </c>
      <c r="N52" s="15">
        <v>4.2</v>
      </c>
      <c r="O52" s="15">
        <v>4.5999999999999996</v>
      </c>
    </row>
    <row r="53" spans="1:15" x14ac:dyDescent="0.25">
      <c r="A53" s="21" t="s">
        <v>168</v>
      </c>
      <c r="C53" s="11">
        <v>6304</v>
      </c>
      <c r="D53" s="11">
        <v>3157</v>
      </c>
      <c r="E53" s="11">
        <v>3147</v>
      </c>
      <c r="F53" s="12">
        <f t="shared" si="0"/>
        <v>0</v>
      </c>
      <c r="G53" s="13">
        <f t="shared" si="1"/>
        <v>0</v>
      </c>
      <c r="H53" s="14">
        <f t="shared" si="2"/>
        <v>0</v>
      </c>
      <c r="I53" s="11">
        <v>94.71</v>
      </c>
      <c r="J53" s="15">
        <v>4.3</v>
      </c>
      <c r="K53" s="15">
        <v>4.8</v>
      </c>
      <c r="L53" s="16">
        <v>6.5</v>
      </c>
      <c r="M53" s="16">
        <v>6.8</v>
      </c>
      <c r="N53" s="15">
        <v>4.4000000000000004</v>
      </c>
      <c r="O53" s="15">
        <v>5.4</v>
      </c>
    </row>
    <row r="54" spans="1:15" x14ac:dyDescent="0.25">
      <c r="A54" s="21" t="s">
        <v>89</v>
      </c>
      <c r="C54" s="11">
        <v>3443</v>
      </c>
      <c r="D54" s="11">
        <v>1806</v>
      </c>
      <c r="E54" s="11">
        <v>1637</v>
      </c>
      <c r="F54" s="12">
        <f t="shared" si="0"/>
        <v>0</v>
      </c>
      <c r="G54" s="13">
        <f t="shared" si="1"/>
        <v>0</v>
      </c>
      <c r="H54" s="14">
        <f t="shared" si="2"/>
        <v>0</v>
      </c>
      <c r="I54" s="11">
        <v>90.9</v>
      </c>
      <c r="J54" s="15" t="s">
        <v>303</v>
      </c>
      <c r="K54" s="15">
        <v>3.7</v>
      </c>
      <c r="L54" s="16">
        <v>5.8</v>
      </c>
      <c r="M54" s="16">
        <v>5.4</v>
      </c>
      <c r="N54" s="15" t="s">
        <v>303</v>
      </c>
      <c r="O54" s="15">
        <v>4.0999999999999996</v>
      </c>
    </row>
    <row r="55" spans="1:15" x14ac:dyDescent="0.25">
      <c r="A55" s="21" t="s">
        <v>12</v>
      </c>
      <c r="C55" s="11">
        <v>103074</v>
      </c>
      <c r="D55" s="11">
        <v>50862</v>
      </c>
      <c r="E55" s="11">
        <v>52212</v>
      </c>
      <c r="F55" s="12">
        <f t="shared" si="0"/>
        <v>0</v>
      </c>
      <c r="G55" s="13">
        <f t="shared" si="1"/>
        <v>0</v>
      </c>
      <c r="H55" s="14">
        <f t="shared" si="2"/>
        <v>0</v>
      </c>
      <c r="I55" s="11">
        <v>97.85</v>
      </c>
      <c r="J55" s="15" t="s">
        <v>303</v>
      </c>
      <c r="K55" s="15">
        <v>3.8</v>
      </c>
      <c r="L55" s="16">
        <v>5.6</v>
      </c>
      <c r="M55" s="16">
        <v>5.6</v>
      </c>
      <c r="N55" s="15">
        <v>4.8</v>
      </c>
      <c r="O55" s="15">
        <v>4.8</v>
      </c>
    </row>
    <row r="56" spans="1:15" x14ac:dyDescent="0.25">
      <c r="A56" s="21" t="s">
        <v>76</v>
      </c>
      <c r="C56" s="11">
        <v>12501</v>
      </c>
      <c r="D56" s="11">
        <v>6236</v>
      </c>
      <c r="E56" s="11">
        <v>6265</v>
      </c>
      <c r="F56" s="12">
        <f t="shared" si="0"/>
        <v>0</v>
      </c>
      <c r="G56" s="13">
        <f t="shared" si="1"/>
        <v>0</v>
      </c>
      <c r="H56" s="14">
        <f t="shared" si="2"/>
        <v>0</v>
      </c>
      <c r="I56" s="11">
        <v>92.29</v>
      </c>
      <c r="J56" s="15">
        <v>4.4000000000000004</v>
      </c>
      <c r="K56" s="15" t="s">
        <v>303</v>
      </c>
      <c r="L56" s="16">
        <v>4.4000000000000004</v>
      </c>
      <c r="M56" s="16">
        <v>5.2</v>
      </c>
      <c r="N56" s="15" t="s">
        <v>303</v>
      </c>
      <c r="O56" s="15">
        <v>5.3</v>
      </c>
    </row>
    <row r="57" spans="1:15" x14ac:dyDescent="0.25">
      <c r="A57" s="21" t="s">
        <v>68</v>
      </c>
      <c r="C57" s="11">
        <v>7257</v>
      </c>
      <c r="D57" s="11">
        <v>3752</v>
      </c>
      <c r="E57" s="11">
        <v>3505</v>
      </c>
      <c r="F57" s="12">
        <f t="shared" si="0"/>
        <v>0</v>
      </c>
      <c r="G57" s="13">
        <f t="shared" si="1"/>
        <v>0</v>
      </c>
      <c r="H57" s="14">
        <f t="shared" si="2"/>
        <v>0</v>
      </c>
      <c r="I57" s="11">
        <v>96.76</v>
      </c>
      <c r="J57" s="15">
        <v>3.7</v>
      </c>
      <c r="K57" s="15">
        <v>3.4</v>
      </c>
      <c r="L57" s="16">
        <v>6.4</v>
      </c>
      <c r="M57" s="16">
        <v>6.5</v>
      </c>
      <c r="N57" s="15">
        <v>5</v>
      </c>
      <c r="O57" s="15">
        <v>4.7</v>
      </c>
    </row>
    <row r="58" spans="1:15" x14ac:dyDescent="0.25">
      <c r="A58" s="21" t="s">
        <v>191</v>
      </c>
      <c r="C58" s="11">
        <v>9623</v>
      </c>
      <c r="D58" s="11">
        <v>4842</v>
      </c>
      <c r="E58" s="11">
        <v>4781</v>
      </c>
      <c r="F58" s="12">
        <f t="shared" si="0"/>
        <v>0</v>
      </c>
      <c r="G58" s="13">
        <f t="shared" si="1"/>
        <v>0</v>
      </c>
      <c r="H58" s="14">
        <f t="shared" si="2"/>
        <v>0</v>
      </c>
      <c r="I58" s="11">
        <v>89.63</v>
      </c>
      <c r="J58" s="15">
        <v>3.4</v>
      </c>
      <c r="K58" s="15" t="s">
        <v>303</v>
      </c>
      <c r="L58" s="16">
        <v>5.8</v>
      </c>
      <c r="M58" s="16" t="s">
        <v>303</v>
      </c>
      <c r="N58" s="15">
        <v>3.9</v>
      </c>
      <c r="O58" s="15">
        <v>4.3</v>
      </c>
    </row>
    <row r="59" spans="1:15" x14ac:dyDescent="0.25">
      <c r="A59" s="21" t="s">
        <v>78</v>
      </c>
      <c r="C59" s="11">
        <v>36932</v>
      </c>
      <c r="D59" s="11">
        <v>18373</v>
      </c>
      <c r="E59" s="11">
        <v>18559</v>
      </c>
      <c r="F59" s="12">
        <f t="shared" si="0"/>
        <v>0</v>
      </c>
      <c r="G59" s="13">
        <f t="shared" si="1"/>
        <v>0</v>
      </c>
      <c r="H59" s="14">
        <f t="shared" si="2"/>
        <v>0</v>
      </c>
      <c r="I59" s="11">
        <v>91.47</v>
      </c>
      <c r="J59" s="15">
        <v>3.8</v>
      </c>
      <c r="K59" s="15">
        <v>3.7</v>
      </c>
      <c r="L59" s="16">
        <v>6.2</v>
      </c>
      <c r="M59" s="16">
        <v>6.6</v>
      </c>
      <c r="N59" s="15">
        <v>4.5</v>
      </c>
      <c r="O59" s="15">
        <v>4.5999999999999996</v>
      </c>
    </row>
    <row r="60" spans="1:15" x14ac:dyDescent="0.25">
      <c r="A60" s="21" t="s">
        <v>233</v>
      </c>
      <c r="C60" s="11">
        <v>12821</v>
      </c>
      <c r="D60" s="11">
        <v>6501</v>
      </c>
      <c r="E60" s="11">
        <v>6320</v>
      </c>
      <c r="F60" s="12">
        <f t="shared" si="0"/>
        <v>0</v>
      </c>
      <c r="G60" s="13">
        <f t="shared" si="1"/>
        <v>0</v>
      </c>
      <c r="H60" s="14">
        <f t="shared" si="2"/>
        <v>0</v>
      </c>
      <c r="I60" s="11">
        <v>95.95</v>
      </c>
      <c r="J60" s="15" t="s">
        <v>303</v>
      </c>
      <c r="K60" s="15">
        <v>3.8</v>
      </c>
      <c r="L60" s="16">
        <v>6.1</v>
      </c>
      <c r="M60" s="16">
        <v>5.9</v>
      </c>
      <c r="N60" s="15">
        <v>4.3</v>
      </c>
      <c r="O60" s="15">
        <v>4.4000000000000004</v>
      </c>
    </row>
    <row r="61" spans="1:15" x14ac:dyDescent="0.25">
      <c r="A61" s="21" t="s">
        <v>108</v>
      </c>
      <c r="C61" s="11">
        <v>55016</v>
      </c>
      <c r="D61" s="11">
        <v>27157</v>
      </c>
      <c r="E61" s="11">
        <v>27859</v>
      </c>
      <c r="F61" s="12">
        <f t="shared" si="0"/>
        <v>0</v>
      </c>
      <c r="G61" s="13">
        <f t="shared" si="1"/>
        <v>0</v>
      </c>
      <c r="H61" s="14">
        <f t="shared" si="2"/>
        <v>0</v>
      </c>
      <c r="I61" s="11">
        <v>94.3</v>
      </c>
      <c r="J61" s="15">
        <v>4.0999999999999996</v>
      </c>
      <c r="K61" s="15" t="s">
        <v>303</v>
      </c>
      <c r="L61" s="16">
        <v>6.8</v>
      </c>
      <c r="M61" s="16">
        <v>6.8</v>
      </c>
      <c r="N61" s="15" t="s">
        <v>303</v>
      </c>
      <c r="O61" s="15">
        <v>4.7</v>
      </c>
    </row>
    <row r="62" spans="1:15" x14ac:dyDescent="0.25">
      <c r="A62" s="21" t="s">
        <v>275</v>
      </c>
      <c r="C62" s="11">
        <v>2625</v>
      </c>
      <c r="D62" s="11">
        <v>1383</v>
      </c>
      <c r="E62" s="11">
        <v>1242</v>
      </c>
      <c r="F62" s="12">
        <f t="shared" si="0"/>
        <v>0</v>
      </c>
      <c r="G62" s="13">
        <f t="shared" si="1"/>
        <v>0</v>
      </c>
      <c r="H62" s="14">
        <f t="shared" si="2"/>
        <v>0</v>
      </c>
      <c r="I62" s="11">
        <v>97.01</v>
      </c>
      <c r="J62" s="15">
        <v>4</v>
      </c>
      <c r="K62" s="15">
        <v>4.2</v>
      </c>
      <c r="L62" s="16">
        <v>6.5</v>
      </c>
      <c r="M62" s="16">
        <v>6.7</v>
      </c>
      <c r="N62" s="15">
        <v>5.5</v>
      </c>
      <c r="O62" s="15">
        <v>5.3</v>
      </c>
    </row>
    <row r="63" spans="1:15" x14ac:dyDescent="0.25">
      <c r="A63" s="21" t="s">
        <v>175</v>
      </c>
      <c r="C63" s="11">
        <v>23314</v>
      </c>
      <c r="D63" s="11">
        <v>11653</v>
      </c>
      <c r="E63" s="11">
        <v>11661</v>
      </c>
      <c r="F63" s="12">
        <f t="shared" si="0"/>
        <v>0</v>
      </c>
      <c r="G63" s="13">
        <f t="shared" si="1"/>
        <v>0</v>
      </c>
      <c r="H63" s="14">
        <f t="shared" si="2"/>
        <v>0</v>
      </c>
      <c r="I63" s="11">
        <v>96.28</v>
      </c>
      <c r="J63" s="15">
        <v>4.4000000000000004</v>
      </c>
      <c r="K63" s="15">
        <v>3.9</v>
      </c>
      <c r="L63" s="16">
        <v>5.8</v>
      </c>
      <c r="M63" s="16">
        <v>6.6</v>
      </c>
      <c r="N63" s="15">
        <v>5.0999999999999996</v>
      </c>
      <c r="O63" s="15">
        <v>5.2</v>
      </c>
    </row>
    <row r="64" spans="1:15" x14ac:dyDescent="0.25">
      <c r="A64" s="21" t="s">
        <v>80</v>
      </c>
      <c r="C64" s="11">
        <v>23975</v>
      </c>
      <c r="D64" s="11">
        <v>11545</v>
      </c>
      <c r="E64" s="11">
        <v>12430</v>
      </c>
      <c r="F64" s="12">
        <f t="shared" si="0"/>
        <v>0</v>
      </c>
      <c r="G64" s="13">
        <f t="shared" si="1"/>
        <v>0</v>
      </c>
      <c r="H64" s="14">
        <f t="shared" si="2"/>
        <v>0</v>
      </c>
      <c r="I64" s="11">
        <v>97.46</v>
      </c>
      <c r="J64" s="15" t="s">
        <v>303</v>
      </c>
      <c r="K64" s="15" t="s">
        <v>303</v>
      </c>
      <c r="L64" s="16">
        <v>6</v>
      </c>
      <c r="M64" s="16">
        <v>5.8</v>
      </c>
      <c r="N64" s="15">
        <v>4.7</v>
      </c>
      <c r="O64" s="15">
        <v>4.3</v>
      </c>
    </row>
    <row r="65" spans="1:15" x14ac:dyDescent="0.25">
      <c r="A65" s="21" t="s">
        <v>13</v>
      </c>
      <c r="C65" s="11">
        <v>10566</v>
      </c>
      <c r="D65" s="11">
        <v>5248</v>
      </c>
      <c r="E65" s="11">
        <v>5318</v>
      </c>
      <c r="F65" s="12">
        <f t="shared" si="0"/>
        <v>0</v>
      </c>
      <c r="G65" s="13">
        <f t="shared" si="1"/>
        <v>0</v>
      </c>
      <c r="H65" s="14">
        <f t="shared" si="2"/>
        <v>0</v>
      </c>
      <c r="I65" s="11">
        <v>96.16</v>
      </c>
      <c r="J65" s="15" t="s">
        <v>303</v>
      </c>
      <c r="K65" s="15" t="s">
        <v>303</v>
      </c>
      <c r="L65" s="16">
        <v>6.4</v>
      </c>
      <c r="M65" s="16">
        <v>6.1</v>
      </c>
      <c r="N65" s="15" t="s">
        <v>303</v>
      </c>
      <c r="O65" s="15" t="s">
        <v>303</v>
      </c>
    </row>
    <row r="66" spans="1:15" x14ac:dyDescent="0.25">
      <c r="A66" s="21" t="s">
        <v>246</v>
      </c>
      <c r="C66" s="11">
        <v>4614</v>
      </c>
      <c r="D66" s="11">
        <v>2341</v>
      </c>
      <c r="E66" s="11">
        <v>2273</v>
      </c>
      <c r="F66" s="12">
        <f t="shared" si="0"/>
        <v>0</v>
      </c>
      <c r="G66" s="13">
        <f t="shared" si="1"/>
        <v>0</v>
      </c>
      <c r="H66" s="14">
        <f t="shared" si="2"/>
        <v>0</v>
      </c>
      <c r="I66" s="11">
        <v>92.23</v>
      </c>
      <c r="J66" s="15" t="s">
        <v>303</v>
      </c>
      <c r="K66" s="15" t="s">
        <v>303</v>
      </c>
      <c r="L66" s="16">
        <v>5.5</v>
      </c>
      <c r="M66" s="16">
        <v>6.5</v>
      </c>
      <c r="N66" s="15">
        <v>4.4000000000000004</v>
      </c>
      <c r="O66" s="15">
        <v>4.5</v>
      </c>
    </row>
    <row r="67" spans="1:15" x14ac:dyDescent="0.25">
      <c r="A67" s="21" t="s">
        <v>300</v>
      </c>
      <c r="C67" s="11">
        <v>2805</v>
      </c>
      <c r="D67" s="11">
        <v>1426</v>
      </c>
      <c r="E67" s="11">
        <v>1379</v>
      </c>
      <c r="F67" s="12">
        <f t="shared" si="0"/>
        <v>0</v>
      </c>
      <c r="G67" s="13">
        <f t="shared" si="1"/>
        <v>0</v>
      </c>
      <c r="H67" s="14">
        <f t="shared" si="2"/>
        <v>0</v>
      </c>
      <c r="I67" s="11">
        <v>93.03</v>
      </c>
      <c r="J67" s="15" t="s">
        <v>303</v>
      </c>
      <c r="K67" s="15" t="s">
        <v>303</v>
      </c>
      <c r="L67" s="16">
        <v>6.1</v>
      </c>
      <c r="M67" s="16">
        <v>7.3</v>
      </c>
      <c r="N67" s="15" t="s">
        <v>303</v>
      </c>
      <c r="O67" s="15">
        <v>4.9000000000000004</v>
      </c>
    </row>
    <row r="68" spans="1:15" x14ac:dyDescent="0.25">
      <c r="A68" s="21" t="s">
        <v>263</v>
      </c>
      <c r="C68" s="11">
        <v>3317</v>
      </c>
      <c r="D68" s="11">
        <v>1758</v>
      </c>
      <c r="E68" s="11">
        <v>1559</v>
      </c>
      <c r="F68" s="12">
        <f t="shared" si="0"/>
        <v>0</v>
      </c>
      <c r="G68" s="13">
        <f t="shared" si="1"/>
        <v>0</v>
      </c>
      <c r="H68" s="14">
        <f t="shared" si="2"/>
        <v>0</v>
      </c>
      <c r="I68" s="11">
        <v>88.27</v>
      </c>
      <c r="J68" s="15" t="s">
        <v>303</v>
      </c>
      <c r="K68" s="15" t="s">
        <v>303</v>
      </c>
      <c r="L68" s="16" t="s">
        <v>303</v>
      </c>
      <c r="M68" s="16">
        <v>5.4</v>
      </c>
      <c r="N68" s="15" t="s">
        <v>303</v>
      </c>
      <c r="O68" s="15" t="s">
        <v>303</v>
      </c>
    </row>
    <row r="69" spans="1:15" x14ac:dyDescent="0.25">
      <c r="A69" s="21" t="s">
        <v>281</v>
      </c>
      <c r="C69" s="11">
        <v>2950</v>
      </c>
      <c r="D69" s="11">
        <v>1529</v>
      </c>
      <c r="E69" s="11">
        <v>1421</v>
      </c>
      <c r="F69" s="12">
        <f t="shared" si="0"/>
        <v>0</v>
      </c>
      <c r="G69" s="13">
        <f t="shared" si="1"/>
        <v>0</v>
      </c>
      <c r="H69" s="14">
        <f t="shared" si="2"/>
        <v>0</v>
      </c>
      <c r="I69" s="11">
        <v>94.85</v>
      </c>
      <c r="J69" s="15" t="s">
        <v>303</v>
      </c>
      <c r="K69" s="15">
        <v>4.3</v>
      </c>
      <c r="L69" s="16">
        <v>5.8</v>
      </c>
      <c r="M69" s="16">
        <v>6.1</v>
      </c>
      <c r="N69" s="15" t="s">
        <v>303</v>
      </c>
      <c r="O69" s="15">
        <v>5.0999999999999996</v>
      </c>
    </row>
    <row r="70" spans="1:15" x14ac:dyDescent="0.25">
      <c r="A70" s="21" t="s">
        <v>2</v>
      </c>
      <c r="C70" s="11">
        <v>254785</v>
      </c>
      <c r="D70" s="11">
        <v>126608</v>
      </c>
      <c r="E70" s="11">
        <v>128177</v>
      </c>
      <c r="F70" s="12">
        <f t="shared" si="0"/>
        <v>0</v>
      </c>
      <c r="G70" s="13">
        <f t="shared" si="1"/>
        <v>0</v>
      </c>
      <c r="H70" s="14">
        <f t="shared" si="2"/>
        <v>0</v>
      </c>
      <c r="I70" s="11">
        <v>97.29</v>
      </c>
      <c r="J70" s="15">
        <v>4</v>
      </c>
      <c r="K70" s="15">
        <v>3.8</v>
      </c>
      <c r="L70" s="16">
        <v>6.3</v>
      </c>
      <c r="M70" s="16">
        <v>6.1</v>
      </c>
      <c r="N70" s="15">
        <v>5.0999999999999996</v>
      </c>
      <c r="O70" s="15">
        <v>4.8</v>
      </c>
    </row>
    <row r="71" spans="1:15" x14ac:dyDescent="0.25">
      <c r="A71" s="21" t="s">
        <v>115</v>
      </c>
      <c r="C71" s="11">
        <v>17240</v>
      </c>
      <c r="D71" s="11">
        <v>8449</v>
      </c>
      <c r="E71" s="11">
        <v>8791</v>
      </c>
      <c r="F71" s="12">
        <f t="shared" si="0"/>
        <v>0</v>
      </c>
      <c r="G71" s="13">
        <f t="shared" si="1"/>
        <v>0</v>
      </c>
      <c r="H71" s="14">
        <f t="shared" si="2"/>
        <v>0</v>
      </c>
      <c r="I71" s="11">
        <v>98.13</v>
      </c>
      <c r="J71" s="15" t="s">
        <v>303</v>
      </c>
      <c r="K71" s="15" t="s">
        <v>303</v>
      </c>
      <c r="L71" s="16">
        <v>6.6</v>
      </c>
      <c r="M71" s="16">
        <v>7</v>
      </c>
      <c r="N71" s="15">
        <v>5.7</v>
      </c>
      <c r="O71" s="15">
        <v>5.3</v>
      </c>
    </row>
    <row r="72" spans="1:15" x14ac:dyDescent="0.25">
      <c r="A72" s="21" t="s">
        <v>51</v>
      </c>
      <c r="C72" s="11">
        <v>81646</v>
      </c>
      <c r="D72" s="11">
        <v>40267</v>
      </c>
      <c r="E72" s="11">
        <v>41379</v>
      </c>
      <c r="F72" s="12">
        <f t="shared" si="0"/>
        <v>0</v>
      </c>
      <c r="G72" s="13">
        <f t="shared" si="1"/>
        <v>0</v>
      </c>
      <c r="H72" s="14">
        <f t="shared" si="2"/>
        <v>0</v>
      </c>
      <c r="I72" s="11">
        <v>97.07</v>
      </c>
      <c r="J72" s="15">
        <v>4.2</v>
      </c>
      <c r="K72" s="15">
        <v>4.0999999999999996</v>
      </c>
      <c r="L72" s="16">
        <v>6.4</v>
      </c>
      <c r="M72" s="16">
        <v>6.4</v>
      </c>
      <c r="N72" s="15">
        <v>5.3</v>
      </c>
      <c r="O72" s="15">
        <v>5.2</v>
      </c>
    </row>
    <row r="73" spans="1:15" x14ac:dyDescent="0.25">
      <c r="A73" s="21" t="s">
        <v>142</v>
      </c>
      <c r="C73" s="11">
        <v>4781</v>
      </c>
      <c r="D73" s="11">
        <v>2440</v>
      </c>
      <c r="E73" s="11">
        <v>2341</v>
      </c>
      <c r="F73" s="12">
        <f t="shared" si="0"/>
        <v>0</v>
      </c>
      <c r="G73" s="13">
        <f t="shared" si="1"/>
        <v>0</v>
      </c>
      <c r="H73" s="14">
        <f t="shared" si="2"/>
        <v>0</v>
      </c>
      <c r="I73" s="11">
        <v>96.13</v>
      </c>
      <c r="J73" s="15" t="s">
        <v>303</v>
      </c>
      <c r="K73" s="15">
        <v>3.7</v>
      </c>
      <c r="L73" s="16">
        <v>6</v>
      </c>
      <c r="M73" s="16">
        <v>6.8</v>
      </c>
      <c r="N73" s="15">
        <v>5.4</v>
      </c>
      <c r="O73" s="15">
        <v>4.8</v>
      </c>
    </row>
    <row r="74" spans="1:15" x14ac:dyDescent="0.25">
      <c r="A74" s="21" t="s">
        <v>205</v>
      </c>
      <c r="C74" s="11">
        <v>10388</v>
      </c>
      <c r="D74" s="11">
        <v>5212</v>
      </c>
      <c r="E74" s="11">
        <v>5176</v>
      </c>
      <c r="F74" s="12">
        <f t="shared" si="0"/>
        <v>0</v>
      </c>
      <c r="G74" s="13">
        <f t="shared" si="1"/>
        <v>0</v>
      </c>
      <c r="H74" s="14">
        <f t="shared" si="2"/>
        <v>0</v>
      </c>
      <c r="I74" s="11">
        <v>93.92</v>
      </c>
      <c r="J74" s="15" t="s">
        <v>303</v>
      </c>
      <c r="K74" s="15" t="s">
        <v>303</v>
      </c>
      <c r="L74" s="16">
        <v>6.1</v>
      </c>
      <c r="M74" s="16">
        <v>6.4</v>
      </c>
      <c r="N74" s="15">
        <v>4.8</v>
      </c>
      <c r="O74" s="15">
        <v>4.4000000000000004</v>
      </c>
    </row>
    <row r="75" spans="1:15" x14ac:dyDescent="0.25">
      <c r="A75" s="21" t="s">
        <v>272</v>
      </c>
      <c r="C75" s="11">
        <v>2065</v>
      </c>
      <c r="D75" s="11">
        <v>1044</v>
      </c>
      <c r="E75" s="11">
        <v>1021</v>
      </c>
      <c r="F75" s="12">
        <f t="shared" si="0"/>
        <v>0</v>
      </c>
      <c r="G75" s="13">
        <f t="shared" si="1"/>
        <v>0</v>
      </c>
      <c r="H75" s="14">
        <f t="shared" si="2"/>
        <v>0</v>
      </c>
      <c r="I75" s="11">
        <v>89.68</v>
      </c>
      <c r="J75" s="15" t="s">
        <v>303</v>
      </c>
      <c r="K75" s="15">
        <v>3.3</v>
      </c>
      <c r="L75" s="16">
        <v>5.7</v>
      </c>
      <c r="M75" s="16">
        <v>6.9</v>
      </c>
      <c r="N75" s="15">
        <v>5.3</v>
      </c>
      <c r="O75" s="15">
        <v>4.3</v>
      </c>
    </row>
    <row r="76" spans="1:15" x14ac:dyDescent="0.25">
      <c r="A76" s="21" t="s">
        <v>221</v>
      </c>
      <c r="C76" s="11">
        <v>15727</v>
      </c>
      <c r="D76" s="11">
        <v>7838</v>
      </c>
      <c r="E76" s="11">
        <v>7889</v>
      </c>
      <c r="F76" s="12">
        <f t="shared" si="0"/>
        <v>0</v>
      </c>
      <c r="G76" s="13">
        <f t="shared" si="1"/>
        <v>0</v>
      </c>
      <c r="H76" s="14">
        <f t="shared" si="2"/>
        <v>0</v>
      </c>
      <c r="I76" s="11">
        <v>93.96</v>
      </c>
      <c r="J76" s="15" t="s">
        <v>303</v>
      </c>
      <c r="K76" s="15" t="s">
        <v>303</v>
      </c>
      <c r="L76" s="16">
        <v>6.2</v>
      </c>
      <c r="M76" s="16">
        <v>6.5</v>
      </c>
      <c r="N76" s="15">
        <v>5.6</v>
      </c>
      <c r="O76" s="15">
        <v>5</v>
      </c>
    </row>
    <row r="77" spans="1:15" x14ac:dyDescent="0.25">
      <c r="A77" s="21" t="s">
        <v>103</v>
      </c>
      <c r="C77" s="11">
        <v>15267</v>
      </c>
      <c r="D77" s="11">
        <v>7634</v>
      </c>
      <c r="E77" s="11">
        <v>7633</v>
      </c>
      <c r="F77" s="12">
        <f t="shared" si="0"/>
        <v>0</v>
      </c>
      <c r="G77" s="13">
        <f t="shared" si="1"/>
        <v>0</v>
      </c>
      <c r="H77" s="14">
        <f t="shared" si="2"/>
        <v>0</v>
      </c>
      <c r="I77" s="11">
        <v>97.63</v>
      </c>
      <c r="J77" s="15">
        <v>3.6</v>
      </c>
      <c r="K77" s="15">
        <v>3.2</v>
      </c>
      <c r="L77" s="16">
        <v>5.8</v>
      </c>
      <c r="M77" s="16">
        <v>5.7</v>
      </c>
      <c r="N77" s="15">
        <v>4.5</v>
      </c>
      <c r="O77" s="15">
        <v>4.5999999999999996</v>
      </c>
    </row>
    <row r="78" spans="1:15" x14ac:dyDescent="0.25">
      <c r="A78" s="21" t="s">
        <v>22</v>
      </c>
      <c r="C78" s="11">
        <v>214493</v>
      </c>
      <c r="D78" s="11">
        <v>104541</v>
      </c>
      <c r="E78" s="11">
        <v>109952</v>
      </c>
      <c r="F78" s="12">
        <f t="shared" si="0"/>
        <v>0</v>
      </c>
      <c r="G78" s="13">
        <f t="shared" si="1"/>
        <v>0</v>
      </c>
      <c r="H78" s="14">
        <f t="shared" si="2"/>
        <v>0</v>
      </c>
      <c r="I78" s="11">
        <v>98.03</v>
      </c>
      <c r="J78" s="15">
        <v>3.9</v>
      </c>
      <c r="K78" s="15">
        <v>3.7</v>
      </c>
      <c r="L78" s="16">
        <v>6.2</v>
      </c>
      <c r="M78" s="16">
        <v>6.4</v>
      </c>
      <c r="N78" s="15">
        <v>5</v>
      </c>
      <c r="O78" s="15">
        <v>5</v>
      </c>
    </row>
    <row r="79" spans="1:15" x14ac:dyDescent="0.25">
      <c r="A79" s="21" t="s">
        <v>169</v>
      </c>
      <c r="C79" s="11">
        <v>10953</v>
      </c>
      <c r="D79" s="11">
        <v>5406</v>
      </c>
      <c r="E79" s="11">
        <v>5547</v>
      </c>
      <c r="F79" s="12">
        <f t="shared" si="0"/>
        <v>0</v>
      </c>
      <c r="G79" s="13">
        <f t="shared" si="1"/>
        <v>0</v>
      </c>
      <c r="H79" s="14">
        <f t="shared" si="2"/>
        <v>0</v>
      </c>
      <c r="I79" s="11">
        <v>96.78</v>
      </c>
      <c r="J79" s="15" t="s">
        <v>303</v>
      </c>
      <c r="K79" s="15" t="s">
        <v>303</v>
      </c>
      <c r="L79" s="16">
        <v>6.4</v>
      </c>
      <c r="M79" s="16">
        <v>6.3</v>
      </c>
      <c r="N79" s="15">
        <v>4.5</v>
      </c>
      <c r="O79" s="15">
        <v>4.8</v>
      </c>
    </row>
    <row r="80" spans="1:15" x14ac:dyDescent="0.25">
      <c r="A80" s="21" t="s">
        <v>238</v>
      </c>
      <c r="C80" s="11">
        <v>1968</v>
      </c>
      <c r="D80" s="11">
        <v>1011</v>
      </c>
      <c r="E80" s="11">
        <v>957</v>
      </c>
      <c r="F80" s="12">
        <f t="shared" si="0"/>
        <v>0</v>
      </c>
      <c r="G80" s="13">
        <f t="shared" si="1"/>
        <v>0</v>
      </c>
      <c r="H80" s="14">
        <f t="shared" si="2"/>
        <v>0</v>
      </c>
      <c r="I80" s="11">
        <v>96.84</v>
      </c>
      <c r="J80" s="15">
        <v>5.0999999999999996</v>
      </c>
      <c r="K80" s="15" t="s">
        <v>303</v>
      </c>
      <c r="L80" s="16">
        <v>7.4</v>
      </c>
      <c r="M80" s="16">
        <v>7.3</v>
      </c>
      <c r="N80" s="15">
        <v>5.3</v>
      </c>
      <c r="O80" s="15">
        <v>4.9000000000000004</v>
      </c>
    </row>
    <row r="81" spans="1:15" x14ac:dyDescent="0.25">
      <c r="A81" s="21" t="s">
        <v>148</v>
      </c>
      <c r="C81" s="11">
        <v>40045</v>
      </c>
      <c r="D81" s="11">
        <v>19556</v>
      </c>
      <c r="E81" s="11">
        <v>20489</v>
      </c>
      <c r="F81" s="12">
        <f t="shared" si="0"/>
        <v>0</v>
      </c>
      <c r="G81" s="13">
        <f t="shared" si="1"/>
        <v>0</v>
      </c>
      <c r="H81" s="14">
        <f t="shared" si="2"/>
        <v>0</v>
      </c>
      <c r="I81" s="11">
        <v>94.74</v>
      </c>
      <c r="J81" s="15">
        <v>3.4</v>
      </c>
      <c r="K81" s="15">
        <v>3.4</v>
      </c>
      <c r="L81" s="16">
        <v>5.5</v>
      </c>
      <c r="M81" s="16">
        <v>5.9</v>
      </c>
      <c r="N81" s="15">
        <v>4.5999999999999996</v>
      </c>
      <c r="O81" s="15">
        <v>4.5</v>
      </c>
    </row>
    <row r="82" spans="1:15" x14ac:dyDescent="0.25">
      <c r="A82" s="21" t="s">
        <v>173</v>
      </c>
      <c r="C82" s="11">
        <v>8530</v>
      </c>
      <c r="D82" s="11">
        <v>4300</v>
      </c>
      <c r="E82" s="11">
        <v>4230</v>
      </c>
      <c r="F82" s="12">
        <f t="shared" si="0"/>
        <v>0</v>
      </c>
      <c r="G82" s="13">
        <f t="shared" si="1"/>
        <v>0</v>
      </c>
      <c r="H82" s="14">
        <f t="shared" si="2"/>
        <v>0</v>
      </c>
      <c r="I82" s="11">
        <v>94.97</v>
      </c>
      <c r="J82" s="15" t="s">
        <v>303</v>
      </c>
      <c r="K82" s="15">
        <v>3.7</v>
      </c>
      <c r="L82" s="16">
        <v>6.4</v>
      </c>
      <c r="M82" s="16">
        <v>6.5</v>
      </c>
      <c r="N82" s="15">
        <v>4.4000000000000004</v>
      </c>
      <c r="O82" s="15">
        <v>4.7</v>
      </c>
    </row>
    <row r="83" spans="1:15" x14ac:dyDescent="0.25">
      <c r="A83" s="21" t="s">
        <v>114</v>
      </c>
      <c r="C83" s="11">
        <v>15008</v>
      </c>
      <c r="D83" s="11">
        <v>7428</v>
      </c>
      <c r="E83" s="11">
        <v>7580</v>
      </c>
      <c r="F83" s="12">
        <f t="shared" si="0"/>
        <v>0</v>
      </c>
      <c r="G83" s="13">
        <f t="shared" si="1"/>
        <v>0</v>
      </c>
      <c r="H83" s="14">
        <f t="shared" si="2"/>
        <v>0</v>
      </c>
      <c r="I83" s="11">
        <v>93.2</v>
      </c>
      <c r="J83" s="15">
        <v>4.0999999999999996</v>
      </c>
      <c r="K83" s="15">
        <v>3.7</v>
      </c>
      <c r="L83" s="16">
        <v>6</v>
      </c>
      <c r="M83" s="16">
        <v>6.6</v>
      </c>
      <c r="N83" s="15">
        <v>4.5999999999999996</v>
      </c>
      <c r="O83" s="15">
        <v>4.5</v>
      </c>
    </row>
    <row r="84" spans="1:15" x14ac:dyDescent="0.25">
      <c r="A84" s="21" t="s">
        <v>214</v>
      </c>
      <c r="C84" s="11">
        <v>4221</v>
      </c>
      <c r="D84" s="11">
        <v>2178</v>
      </c>
      <c r="E84" s="11">
        <v>2043</v>
      </c>
      <c r="F84" s="12">
        <f t="shared" si="0"/>
        <v>0</v>
      </c>
      <c r="G84" s="13">
        <f t="shared" si="1"/>
        <v>0</v>
      </c>
      <c r="H84" s="14">
        <f t="shared" si="2"/>
        <v>0</v>
      </c>
      <c r="I84" s="11">
        <v>96.79</v>
      </c>
      <c r="J84" s="15">
        <v>3.8</v>
      </c>
      <c r="K84" s="15">
        <v>4.5</v>
      </c>
      <c r="L84" s="16">
        <v>6.6</v>
      </c>
      <c r="M84" s="16">
        <v>6</v>
      </c>
      <c r="N84" s="15">
        <v>4.5999999999999996</v>
      </c>
      <c r="O84" s="15">
        <v>5.6</v>
      </c>
    </row>
    <row r="85" spans="1:15" x14ac:dyDescent="0.25">
      <c r="A85" s="21" t="s">
        <v>172</v>
      </c>
      <c r="C85" s="11">
        <v>3637</v>
      </c>
      <c r="D85" s="11">
        <v>1833</v>
      </c>
      <c r="E85" s="11">
        <v>1804</v>
      </c>
      <c r="F85" s="12">
        <f t="shared" si="0"/>
        <v>0</v>
      </c>
      <c r="G85" s="13">
        <f t="shared" si="1"/>
        <v>0</v>
      </c>
      <c r="H85" s="14">
        <f t="shared" si="2"/>
        <v>0</v>
      </c>
      <c r="I85" s="11">
        <v>96.6</v>
      </c>
      <c r="J85" s="15" t="s">
        <v>303</v>
      </c>
      <c r="K85" s="15">
        <v>4</v>
      </c>
      <c r="L85" s="16">
        <v>5.9</v>
      </c>
      <c r="M85" s="16">
        <v>6.4</v>
      </c>
      <c r="N85" s="15">
        <v>4.8</v>
      </c>
      <c r="O85" s="15">
        <v>4.9000000000000004</v>
      </c>
    </row>
    <row r="86" spans="1:15" x14ac:dyDescent="0.25">
      <c r="A86" s="21" t="s">
        <v>32</v>
      </c>
      <c r="C86" s="11">
        <v>3402</v>
      </c>
      <c r="D86" s="11">
        <v>1713</v>
      </c>
      <c r="E86" s="11">
        <v>1689</v>
      </c>
      <c r="F86" s="12">
        <f t="shared" si="0"/>
        <v>0</v>
      </c>
      <c r="G86" s="13">
        <f t="shared" si="1"/>
        <v>0</v>
      </c>
      <c r="H86" s="14">
        <f t="shared" si="2"/>
        <v>0</v>
      </c>
      <c r="I86" s="11">
        <v>91.48</v>
      </c>
      <c r="J86" s="15">
        <v>3.4</v>
      </c>
      <c r="K86" s="15">
        <v>3.5</v>
      </c>
      <c r="L86" s="16">
        <v>5.8</v>
      </c>
      <c r="M86" s="16">
        <v>5.7</v>
      </c>
      <c r="N86" s="15" t="s">
        <v>303</v>
      </c>
      <c r="O86" s="15">
        <v>4.5</v>
      </c>
    </row>
    <row r="87" spans="1:15" x14ac:dyDescent="0.25">
      <c r="A87" s="21" t="s">
        <v>271</v>
      </c>
      <c r="C87" s="11">
        <v>2269</v>
      </c>
      <c r="D87" s="11">
        <v>1148</v>
      </c>
      <c r="E87" s="11">
        <v>1121</v>
      </c>
      <c r="F87" s="12">
        <f t="shared" si="0"/>
        <v>0</v>
      </c>
      <c r="G87" s="13">
        <f t="shared" si="1"/>
        <v>0</v>
      </c>
      <c r="H87" s="14">
        <f t="shared" si="2"/>
        <v>0</v>
      </c>
      <c r="I87" s="11">
        <v>94.67</v>
      </c>
      <c r="J87" s="15" t="s">
        <v>303</v>
      </c>
      <c r="K87" s="15">
        <v>4</v>
      </c>
      <c r="L87" s="16" t="s">
        <v>303</v>
      </c>
      <c r="M87" s="16" t="s">
        <v>303</v>
      </c>
      <c r="N87" s="15">
        <v>5</v>
      </c>
      <c r="O87" s="15">
        <v>5.0999999999999996</v>
      </c>
    </row>
    <row r="88" spans="1:15" x14ac:dyDescent="0.25">
      <c r="A88" s="21" t="s">
        <v>288</v>
      </c>
      <c r="C88" s="11">
        <v>4885</v>
      </c>
      <c r="D88" s="11">
        <v>2415</v>
      </c>
      <c r="E88" s="11">
        <v>2470</v>
      </c>
      <c r="F88" s="12">
        <f t="shared" si="0"/>
        <v>0</v>
      </c>
      <c r="G88" s="13">
        <f t="shared" si="1"/>
        <v>0</v>
      </c>
      <c r="H88" s="14">
        <f t="shared" si="2"/>
        <v>0</v>
      </c>
      <c r="I88" s="11">
        <v>94.94</v>
      </c>
      <c r="J88" s="15" t="s">
        <v>303</v>
      </c>
      <c r="K88" s="15" t="s">
        <v>303</v>
      </c>
      <c r="L88" s="16">
        <v>6.4</v>
      </c>
      <c r="M88" s="16">
        <v>5.7</v>
      </c>
      <c r="N88" s="15">
        <v>4.7</v>
      </c>
      <c r="O88" s="15" t="s">
        <v>303</v>
      </c>
    </row>
    <row r="89" spans="1:15" x14ac:dyDescent="0.25">
      <c r="A89" s="21" t="s">
        <v>48</v>
      </c>
      <c r="C89" s="11">
        <v>11192</v>
      </c>
      <c r="D89" s="11">
        <v>5631</v>
      </c>
      <c r="E89" s="11">
        <v>5561</v>
      </c>
      <c r="F89" s="12">
        <f t="shared" si="0"/>
        <v>0</v>
      </c>
      <c r="G89" s="13">
        <f t="shared" si="1"/>
        <v>0</v>
      </c>
      <c r="H89" s="14">
        <f t="shared" si="2"/>
        <v>0</v>
      </c>
      <c r="I89" s="11">
        <v>94.88</v>
      </c>
      <c r="J89" s="15">
        <v>4.0999999999999996</v>
      </c>
      <c r="K89" s="15">
        <v>3.8</v>
      </c>
      <c r="L89" s="16">
        <v>5.7</v>
      </c>
      <c r="M89" s="16">
        <v>6.2</v>
      </c>
      <c r="N89" s="15">
        <v>5.2</v>
      </c>
      <c r="O89" s="15">
        <v>5.2</v>
      </c>
    </row>
    <row r="90" spans="1:15" x14ac:dyDescent="0.25">
      <c r="A90" s="21" t="s">
        <v>215</v>
      </c>
      <c r="C90" s="11">
        <v>1783</v>
      </c>
      <c r="D90" s="11">
        <v>905</v>
      </c>
      <c r="E90" s="11">
        <v>878</v>
      </c>
      <c r="F90" s="12">
        <f t="shared" si="0"/>
        <v>0</v>
      </c>
      <c r="G90" s="13">
        <f t="shared" si="1"/>
        <v>0</v>
      </c>
      <c r="H90" s="14">
        <f t="shared" si="2"/>
        <v>0</v>
      </c>
      <c r="I90" s="11">
        <v>88.27</v>
      </c>
      <c r="J90" s="15" t="s">
        <v>303</v>
      </c>
      <c r="K90" s="15">
        <v>4.5999999999999996</v>
      </c>
      <c r="L90" s="16">
        <v>5</v>
      </c>
      <c r="M90" s="16">
        <v>6.1</v>
      </c>
      <c r="N90" s="15">
        <v>5</v>
      </c>
      <c r="O90" s="15">
        <v>4.5999999999999996</v>
      </c>
    </row>
    <row r="91" spans="1:15" x14ac:dyDescent="0.25">
      <c r="A91" s="21" t="s">
        <v>7</v>
      </c>
      <c r="C91" s="11">
        <v>537211</v>
      </c>
      <c r="D91" s="11">
        <v>257203</v>
      </c>
      <c r="E91" s="11">
        <v>280008</v>
      </c>
      <c r="F91" s="12">
        <f t="shared" si="0"/>
        <v>0</v>
      </c>
      <c r="G91" s="13">
        <f t="shared" si="1"/>
        <v>0</v>
      </c>
      <c r="H91" s="14">
        <f t="shared" si="2"/>
        <v>0</v>
      </c>
      <c r="I91" s="11">
        <v>98.64</v>
      </c>
      <c r="J91" s="15" t="s">
        <v>303</v>
      </c>
      <c r="K91" s="15">
        <v>3.8</v>
      </c>
      <c r="L91" s="16">
        <v>5.8</v>
      </c>
      <c r="M91" s="16">
        <v>5.5</v>
      </c>
      <c r="N91" s="15">
        <v>4.9000000000000004</v>
      </c>
      <c r="O91" s="15">
        <v>4.4000000000000004</v>
      </c>
    </row>
    <row r="92" spans="1:15" x14ac:dyDescent="0.25">
      <c r="A92" s="21" t="s">
        <v>296</v>
      </c>
      <c r="C92" s="11">
        <v>2682</v>
      </c>
      <c r="D92" s="11">
        <v>1353</v>
      </c>
      <c r="E92" s="11">
        <v>1329</v>
      </c>
      <c r="F92" s="12">
        <f t="shared" si="0"/>
        <v>0</v>
      </c>
      <c r="G92" s="13">
        <f t="shared" si="1"/>
        <v>0</v>
      </c>
      <c r="H92" s="14">
        <f t="shared" si="2"/>
        <v>0</v>
      </c>
      <c r="I92" s="11">
        <v>93.4</v>
      </c>
      <c r="J92" s="15">
        <v>4.3</v>
      </c>
      <c r="K92" s="15">
        <v>4.0999999999999996</v>
      </c>
      <c r="L92" s="16">
        <v>6.7</v>
      </c>
      <c r="M92" s="16">
        <v>7.6</v>
      </c>
      <c r="N92" s="15">
        <v>4.7</v>
      </c>
      <c r="O92" s="15" t="s">
        <v>303</v>
      </c>
    </row>
    <row r="93" spans="1:15" x14ac:dyDescent="0.25">
      <c r="A93" s="21" t="s">
        <v>26</v>
      </c>
      <c r="C93" s="11">
        <v>31431</v>
      </c>
      <c r="D93" s="11">
        <v>15712</v>
      </c>
      <c r="E93" s="11">
        <v>15719</v>
      </c>
      <c r="F93" s="12">
        <f t="shared" si="0"/>
        <v>0</v>
      </c>
      <c r="G93" s="13">
        <f t="shared" si="1"/>
        <v>0</v>
      </c>
      <c r="H93" s="14">
        <f t="shared" si="2"/>
        <v>0</v>
      </c>
      <c r="I93" s="11">
        <v>97.13</v>
      </c>
      <c r="J93" s="15">
        <v>3.5</v>
      </c>
      <c r="K93" s="15">
        <v>4.0999999999999996</v>
      </c>
      <c r="L93" s="16">
        <v>6.7</v>
      </c>
      <c r="M93" s="16">
        <v>6.6</v>
      </c>
      <c r="N93" s="15">
        <v>4.8</v>
      </c>
      <c r="O93" s="15">
        <v>4.8</v>
      </c>
    </row>
    <row r="94" spans="1:15" x14ac:dyDescent="0.25">
      <c r="A94" s="21" t="s">
        <v>59</v>
      </c>
      <c r="C94" s="11">
        <v>33481</v>
      </c>
      <c r="D94" s="11">
        <v>16560</v>
      </c>
      <c r="E94" s="11">
        <v>16921</v>
      </c>
      <c r="F94" s="12">
        <f t="shared" si="0"/>
        <v>0</v>
      </c>
      <c r="G94" s="13">
        <f t="shared" si="1"/>
        <v>0</v>
      </c>
      <c r="H94" s="14">
        <f t="shared" si="2"/>
        <v>0</v>
      </c>
      <c r="I94" s="11">
        <v>95.71</v>
      </c>
      <c r="J94" s="15">
        <v>3.7</v>
      </c>
      <c r="K94" s="15">
        <v>3.9</v>
      </c>
      <c r="L94" s="16">
        <v>6.3</v>
      </c>
      <c r="M94" s="16">
        <v>6.8</v>
      </c>
      <c r="N94" s="15">
        <v>5.3</v>
      </c>
      <c r="O94" s="15">
        <v>5.8</v>
      </c>
    </row>
    <row r="95" spans="1:15" x14ac:dyDescent="0.25">
      <c r="A95" s="21" t="s">
        <v>297</v>
      </c>
      <c r="C95" s="11">
        <v>2411</v>
      </c>
      <c r="D95" s="11">
        <v>1267</v>
      </c>
      <c r="E95" s="11">
        <v>1144</v>
      </c>
      <c r="F95" s="12">
        <f t="shared" si="0"/>
        <v>0</v>
      </c>
      <c r="G95" s="13">
        <f t="shared" si="1"/>
        <v>0</v>
      </c>
      <c r="H95" s="14">
        <f t="shared" si="2"/>
        <v>0</v>
      </c>
      <c r="I95" s="11">
        <v>94.1</v>
      </c>
      <c r="J95" s="15" t="s">
        <v>303</v>
      </c>
      <c r="K95" s="15">
        <v>3.9</v>
      </c>
      <c r="L95" s="16">
        <v>6.1</v>
      </c>
      <c r="M95" s="16">
        <v>6.2</v>
      </c>
      <c r="N95" s="15" t="s">
        <v>303</v>
      </c>
      <c r="O95" s="15" t="s">
        <v>303</v>
      </c>
    </row>
    <row r="96" spans="1:15" x14ac:dyDescent="0.25">
      <c r="A96" s="21" t="s">
        <v>253</v>
      </c>
      <c r="C96" s="11">
        <v>3210</v>
      </c>
      <c r="D96" s="11">
        <v>1590</v>
      </c>
      <c r="E96" s="11">
        <v>1620</v>
      </c>
      <c r="F96" s="12">
        <f t="shared" si="0"/>
        <v>0</v>
      </c>
      <c r="G96" s="13">
        <f t="shared" si="1"/>
        <v>0</v>
      </c>
      <c r="H96" s="14">
        <f t="shared" si="2"/>
        <v>0</v>
      </c>
      <c r="I96" s="11">
        <v>88.36</v>
      </c>
      <c r="J96" s="15" t="s">
        <v>303</v>
      </c>
      <c r="K96" s="15" t="s">
        <v>303</v>
      </c>
      <c r="L96" s="16">
        <v>5.8</v>
      </c>
      <c r="M96" s="16">
        <v>6.2</v>
      </c>
      <c r="N96" s="15">
        <v>5.0999999999999996</v>
      </c>
      <c r="O96" s="15">
        <v>5</v>
      </c>
    </row>
    <row r="97" spans="1:15" x14ac:dyDescent="0.25">
      <c r="A97" s="21" t="s">
        <v>36</v>
      </c>
      <c r="C97" s="11">
        <v>29959</v>
      </c>
      <c r="D97" s="11">
        <v>14605</v>
      </c>
      <c r="E97" s="11">
        <v>15354</v>
      </c>
      <c r="F97" s="12">
        <f t="shared" si="0"/>
        <v>0</v>
      </c>
      <c r="G97" s="13">
        <f t="shared" si="1"/>
        <v>0</v>
      </c>
      <c r="H97" s="14">
        <f t="shared" si="2"/>
        <v>0</v>
      </c>
      <c r="I97" s="11">
        <v>95.99</v>
      </c>
      <c r="J97" s="15" t="s">
        <v>303</v>
      </c>
      <c r="K97" s="15">
        <v>4</v>
      </c>
      <c r="L97" s="16">
        <v>6.9</v>
      </c>
      <c r="M97" s="16">
        <v>6.9</v>
      </c>
      <c r="N97" s="15">
        <v>5.2</v>
      </c>
      <c r="O97" s="15">
        <v>4.5999999999999996</v>
      </c>
    </row>
    <row r="98" spans="1:15" x14ac:dyDescent="0.25">
      <c r="A98" s="21" t="s">
        <v>133</v>
      </c>
      <c r="C98" s="11">
        <v>18545</v>
      </c>
      <c r="D98" s="11">
        <v>9450</v>
      </c>
      <c r="E98" s="11">
        <v>9095</v>
      </c>
      <c r="F98" s="12">
        <f t="shared" si="0"/>
        <v>0</v>
      </c>
      <c r="G98" s="13">
        <f t="shared" si="1"/>
        <v>0</v>
      </c>
      <c r="H98" s="14">
        <f t="shared" si="2"/>
        <v>0</v>
      </c>
      <c r="I98" s="11">
        <v>95.49</v>
      </c>
      <c r="J98" s="15" t="s">
        <v>303</v>
      </c>
      <c r="K98" s="15" t="s">
        <v>303</v>
      </c>
      <c r="L98" s="16">
        <v>5.9</v>
      </c>
      <c r="M98" s="16">
        <v>5.6</v>
      </c>
      <c r="N98" s="15">
        <v>5.2</v>
      </c>
      <c r="O98" s="15">
        <v>4</v>
      </c>
    </row>
    <row r="99" spans="1:15" x14ac:dyDescent="0.25">
      <c r="A99" s="21" t="s">
        <v>129</v>
      </c>
      <c r="C99" s="11">
        <v>72570</v>
      </c>
      <c r="D99" s="11">
        <v>35874</v>
      </c>
      <c r="E99" s="11">
        <v>36696</v>
      </c>
      <c r="F99" s="12">
        <f t="shared" si="0"/>
        <v>0</v>
      </c>
      <c r="G99" s="13">
        <f t="shared" si="1"/>
        <v>0</v>
      </c>
      <c r="H99" s="14">
        <f t="shared" si="2"/>
        <v>0</v>
      </c>
      <c r="I99" s="11">
        <v>97.99</v>
      </c>
      <c r="J99" s="15" t="s">
        <v>303</v>
      </c>
      <c r="K99" s="15">
        <v>4</v>
      </c>
      <c r="L99" s="16">
        <v>6.3</v>
      </c>
      <c r="M99" s="16">
        <v>6.3</v>
      </c>
      <c r="N99" s="15">
        <v>5.0999999999999996</v>
      </c>
      <c r="O99" s="15">
        <v>5.2</v>
      </c>
    </row>
    <row r="100" spans="1:15" x14ac:dyDescent="0.25">
      <c r="A100" s="21" t="s">
        <v>63</v>
      </c>
      <c r="C100" s="11">
        <v>16915</v>
      </c>
      <c r="D100" s="11">
        <v>8517</v>
      </c>
      <c r="E100" s="11">
        <v>8398</v>
      </c>
      <c r="F100" s="12">
        <f t="shared" si="0"/>
        <v>0</v>
      </c>
      <c r="G100" s="13">
        <f t="shared" si="1"/>
        <v>0</v>
      </c>
      <c r="H100" s="14">
        <f t="shared" si="2"/>
        <v>0</v>
      </c>
      <c r="I100" s="11">
        <v>95.2</v>
      </c>
      <c r="J100" s="15" t="s">
        <v>303</v>
      </c>
      <c r="K100" s="15">
        <v>4.2</v>
      </c>
      <c r="L100" s="16">
        <v>6.2</v>
      </c>
      <c r="M100" s="16">
        <v>6.7</v>
      </c>
      <c r="N100" s="15">
        <v>5.0999999999999996</v>
      </c>
      <c r="O100" s="15">
        <v>5.3</v>
      </c>
    </row>
    <row r="101" spans="1:15" x14ac:dyDescent="0.25">
      <c r="A101" s="21" t="s">
        <v>185</v>
      </c>
      <c r="C101" s="11">
        <v>6277</v>
      </c>
      <c r="D101" s="11">
        <v>3164</v>
      </c>
      <c r="E101" s="11">
        <v>3113</v>
      </c>
      <c r="F101" s="12">
        <f t="shared" si="0"/>
        <v>0</v>
      </c>
      <c r="G101" s="13">
        <f t="shared" si="1"/>
        <v>0</v>
      </c>
      <c r="H101" s="14">
        <f t="shared" si="2"/>
        <v>0</v>
      </c>
      <c r="I101" s="11">
        <v>96.94</v>
      </c>
      <c r="J101" s="15" t="s">
        <v>303</v>
      </c>
      <c r="K101" s="15" t="s">
        <v>303</v>
      </c>
      <c r="L101" s="16">
        <v>6.3</v>
      </c>
      <c r="M101" s="16">
        <v>5.8</v>
      </c>
      <c r="N101" s="15">
        <v>4.7</v>
      </c>
      <c r="O101" s="15">
        <v>4.2</v>
      </c>
    </row>
    <row r="102" spans="1:15" x14ac:dyDescent="0.25">
      <c r="A102" s="21" t="s">
        <v>196</v>
      </c>
      <c r="C102" s="11">
        <v>12435</v>
      </c>
      <c r="D102" s="11">
        <v>6180</v>
      </c>
      <c r="E102" s="11">
        <v>6255</v>
      </c>
      <c r="F102" s="12">
        <f t="shared" si="0"/>
        <v>0</v>
      </c>
      <c r="G102" s="13">
        <f t="shared" si="1"/>
        <v>0</v>
      </c>
      <c r="H102" s="14">
        <f t="shared" si="2"/>
        <v>0</v>
      </c>
      <c r="I102" s="11">
        <v>97.13</v>
      </c>
      <c r="J102" s="15">
        <v>3.2</v>
      </c>
      <c r="K102" s="15">
        <v>3.7</v>
      </c>
      <c r="L102" s="16">
        <v>6.3</v>
      </c>
      <c r="M102" s="16">
        <v>5.7</v>
      </c>
      <c r="N102" s="15">
        <v>4.5999999999999996</v>
      </c>
      <c r="O102" s="15">
        <v>4.5999999999999996</v>
      </c>
    </row>
    <row r="103" spans="1:15" x14ac:dyDescent="0.25">
      <c r="A103" s="21" t="s">
        <v>202</v>
      </c>
      <c r="C103" s="11">
        <v>24543</v>
      </c>
      <c r="D103" s="11">
        <v>12315</v>
      </c>
      <c r="E103" s="11">
        <v>12228</v>
      </c>
      <c r="F103" s="12">
        <f t="shared" si="0"/>
        <v>0</v>
      </c>
      <c r="G103" s="13">
        <f t="shared" si="1"/>
        <v>0</v>
      </c>
      <c r="H103" s="14">
        <f t="shared" si="2"/>
        <v>0</v>
      </c>
      <c r="I103" s="11">
        <v>97.82</v>
      </c>
      <c r="J103" s="15">
        <v>3.7</v>
      </c>
      <c r="K103" s="15">
        <v>3.8</v>
      </c>
      <c r="L103" s="16">
        <v>6.1</v>
      </c>
      <c r="M103" s="16">
        <v>6.6</v>
      </c>
      <c r="N103" s="15">
        <v>5.3</v>
      </c>
      <c r="O103" s="15">
        <v>5.4</v>
      </c>
    </row>
    <row r="104" spans="1:15" x14ac:dyDescent="0.25">
      <c r="A104" s="21" t="s">
        <v>137</v>
      </c>
      <c r="C104" s="11">
        <v>10796</v>
      </c>
      <c r="D104" s="11">
        <v>5437</v>
      </c>
      <c r="E104" s="11">
        <v>5359</v>
      </c>
      <c r="F104" s="12">
        <f t="shared" si="0"/>
        <v>0</v>
      </c>
      <c r="G104" s="13">
        <f t="shared" si="1"/>
        <v>0</v>
      </c>
      <c r="H104" s="14">
        <f t="shared" si="2"/>
        <v>0</v>
      </c>
      <c r="I104" s="11">
        <v>95.72</v>
      </c>
      <c r="J104" s="15" t="s">
        <v>303</v>
      </c>
      <c r="K104" s="15">
        <v>4.5999999999999996</v>
      </c>
      <c r="L104" s="16">
        <v>7.1</v>
      </c>
      <c r="M104" s="16">
        <v>7</v>
      </c>
      <c r="N104" s="15">
        <v>5.5</v>
      </c>
      <c r="O104" s="15">
        <v>6</v>
      </c>
    </row>
    <row r="105" spans="1:15" x14ac:dyDescent="0.25">
      <c r="A105" s="21" t="s">
        <v>10</v>
      </c>
      <c r="C105" s="11">
        <v>46711</v>
      </c>
      <c r="D105" s="11">
        <v>23405</v>
      </c>
      <c r="E105" s="11">
        <v>23306</v>
      </c>
      <c r="F105" s="12">
        <f t="shared" si="0"/>
        <v>0</v>
      </c>
      <c r="G105" s="13">
        <f t="shared" si="1"/>
        <v>0</v>
      </c>
      <c r="H105" s="14">
        <f t="shared" si="2"/>
        <v>0</v>
      </c>
      <c r="I105" s="11">
        <v>97.8</v>
      </c>
      <c r="J105" s="15" t="s">
        <v>303</v>
      </c>
      <c r="K105" s="15">
        <v>3.8</v>
      </c>
      <c r="L105" s="16">
        <v>6.6</v>
      </c>
      <c r="M105" s="16">
        <v>6.9</v>
      </c>
      <c r="N105" s="15">
        <v>5.0999999999999996</v>
      </c>
      <c r="O105" s="15">
        <v>4.8</v>
      </c>
    </row>
    <row r="106" spans="1:15" x14ac:dyDescent="0.25">
      <c r="A106" s="21" t="s">
        <v>54</v>
      </c>
      <c r="C106" s="11">
        <v>4829</v>
      </c>
      <c r="D106" s="11">
        <v>2360</v>
      </c>
      <c r="E106" s="11">
        <v>2469</v>
      </c>
      <c r="F106" s="12">
        <f t="shared" si="0"/>
        <v>0</v>
      </c>
      <c r="G106" s="13">
        <f t="shared" si="1"/>
        <v>0</v>
      </c>
      <c r="H106" s="14">
        <f t="shared" si="2"/>
        <v>0</v>
      </c>
      <c r="I106" s="11">
        <v>94.72</v>
      </c>
      <c r="J106" s="15">
        <v>4.2</v>
      </c>
      <c r="K106" s="15" t="s">
        <v>303</v>
      </c>
      <c r="L106" s="16">
        <v>6</v>
      </c>
      <c r="M106" s="16">
        <v>6.5</v>
      </c>
      <c r="N106" s="15">
        <v>4.8</v>
      </c>
      <c r="O106" s="15">
        <v>4.8</v>
      </c>
    </row>
    <row r="107" spans="1:15" x14ac:dyDescent="0.25">
      <c r="A107" s="21" t="s">
        <v>38</v>
      </c>
      <c r="C107" s="11">
        <v>8425</v>
      </c>
      <c r="D107" s="11">
        <v>4341</v>
      </c>
      <c r="E107" s="11">
        <v>4084</v>
      </c>
      <c r="F107" s="12">
        <f t="shared" si="0"/>
        <v>0</v>
      </c>
      <c r="G107" s="13">
        <f t="shared" si="1"/>
        <v>0</v>
      </c>
      <c r="H107" s="14">
        <f t="shared" si="2"/>
        <v>0</v>
      </c>
      <c r="I107" s="11">
        <v>94.65</v>
      </c>
      <c r="J107" s="15" t="s">
        <v>303</v>
      </c>
      <c r="K107" s="15" t="s">
        <v>303</v>
      </c>
      <c r="L107" s="16">
        <v>5.8</v>
      </c>
      <c r="M107" s="16">
        <v>5.9</v>
      </c>
      <c r="N107" s="15">
        <v>4.5</v>
      </c>
      <c r="O107" s="15" t="s">
        <v>303</v>
      </c>
    </row>
    <row r="108" spans="1:15" x14ac:dyDescent="0.25">
      <c r="A108" s="21" t="s">
        <v>21</v>
      </c>
      <c r="C108" s="11">
        <v>21724</v>
      </c>
      <c r="D108" s="11">
        <v>10714</v>
      </c>
      <c r="E108" s="11">
        <v>11010</v>
      </c>
      <c r="F108" s="12">
        <f t="shared" si="0"/>
        <v>0</v>
      </c>
      <c r="G108" s="13">
        <f t="shared" si="1"/>
        <v>0</v>
      </c>
      <c r="H108" s="14">
        <f t="shared" si="2"/>
        <v>0</v>
      </c>
      <c r="I108" s="11">
        <v>96.82</v>
      </c>
      <c r="J108" s="15" t="s">
        <v>303</v>
      </c>
      <c r="K108" s="15">
        <v>2.8</v>
      </c>
      <c r="L108" s="16">
        <v>5.9</v>
      </c>
      <c r="M108" s="16">
        <v>6</v>
      </c>
      <c r="N108" s="15">
        <v>4.3</v>
      </c>
      <c r="O108" s="15">
        <v>4.5999999999999996</v>
      </c>
    </row>
    <row r="109" spans="1:15" x14ac:dyDescent="0.25">
      <c r="A109" s="21" t="s">
        <v>107</v>
      </c>
      <c r="C109" s="11">
        <v>2008</v>
      </c>
      <c r="D109" s="11">
        <v>1040</v>
      </c>
      <c r="E109" s="11">
        <v>968</v>
      </c>
      <c r="F109" s="12">
        <f t="shared" si="0"/>
        <v>0</v>
      </c>
      <c r="G109" s="13">
        <f t="shared" si="1"/>
        <v>0</v>
      </c>
      <c r="H109" s="14">
        <f t="shared" si="2"/>
        <v>0</v>
      </c>
      <c r="I109" s="11">
        <v>96.61</v>
      </c>
      <c r="J109" s="15" t="s">
        <v>303</v>
      </c>
      <c r="K109" s="15">
        <v>4</v>
      </c>
      <c r="L109" s="16">
        <v>6.7</v>
      </c>
      <c r="M109" s="16">
        <v>6.2</v>
      </c>
      <c r="N109" s="15">
        <v>4.8</v>
      </c>
      <c r="O109" s="15">
        <v>4.9000000000000004</v>
      </c>
    </row>
    <row r="110" spans="1:15" x14ac:dyDescent="0.25">
      <c r="A110" s="21" t="s">
        <v>121</v>
      </c>
      <c r="C110" s="11">
        <v>3269</v>
      </c>
      <c r="D110" s="11">
        <v>1654</v>
      </c>
      <c r="E110" s="11">
        <v>1615</v>
      </c>
      <c r="F110" s="12">
        <f t="shared" si="0"/>
        <v>0</v>
      </c>
      <c r="G110" s="13">
        <f t="shared" si="1"/>
        <v>0</v>
      </c>
      <c r="H110" s="14">
        <f t="shared" si="2"/>
        <v>0</v>
      </c>
      <c r="I110" s="11">
        <v>95</v>
      </c>
      <c r="J110" s="15" t="s">
        <v>303</v>
      </c>
      <c r="K110" s="15">
        <v>4.4000000000000004</v>
      </c>
      <c r="L110" s="16">
        <v>5.8</v>
      </c>
      <c r="M110" s="16">
        <v>6.4</v>
      </c>
      <c r="N110" s="15" t="s">
        <v>303</v>
      </c>
      <c r="O110" s="15">
        <v>5.2</v>
      </c>
    </row>
    <row r="111" spans="1:15" x14ac:dyDescent="0.25">
      <c r="A111" s="21" t="s">
        <v>112</v>
      </c>
      <c r="C111" s="11">
        <v>19862</v>
      </c>
      <c r="D111" s="11">
        <v>9931</v>
      </c>
      <c r="E111" s="11">
        <v>9931</v>
      </c>
      <c r="F111" s="12">
        <f t="shared" si="0"/>
        <v>0</v>
      </c>
      <c r="G111" s="13">
        <f t="shared" si="1"/>
        <v>0</v>
      </c>
      <c r="H111" s="14">
        <f t="shared" si="2"/>
        <v>0</v>
      </c>
      <c r="I111" s="11">
        <v>97.64</v>
      </c>
      <c r="J111" s="15">
        <v>4.2</v>
      </c>
      <c r="K111" s="15">
        <v>4.5999999999999996</v>
      </c>
      <c r="L111" s="16">
        <v>5.9</v>
      </c>
      <c r="M111" s="16">
        <v>6.3</v>
      </c>
      <c r="N111" s="15">
        <v>4.9000000000000004</v>
      </c>
      <c r="O111" s="15">
        <v>5.0999999999999996</v>
      </c>
    </row>
    <row r="112" spans="1:15" x14ac:dyDescent="0.25">
      <c r="A112" s="21" t="s">
        <v>52</v>
      </c>
      <c r="C112" s="11">
        <v>59035</v>
      </c>
      <c r="D112" s="11">
        <v>29252</v>
      </c>
      <c r="E112" s="11">
        <v>29783</v>
      </c>
      <c r="F112" s="12">
        <f t="shared" si="0"/>
        <v>0</v>
      </c>
      <c r="G112" s="13">
        <f t="shared" si="1"/>
        <v>0</v>
      </c>
      <c r="H112" s="14">
        <f t="shared" si="2"/>
        <v>0</v>
      </c>
      <c r="I112" s="11">
        <v>97.39</v>
      </c>
      <c r="J112" s="15">
        <v>3.8</v>
      </c>
      <c r="K112" s="15">
        <v>3.8</v>
      </c>
      <c r="L112" s="16">
        <v>6.5</v>
      </c>
      <c r="M112" s="16">
        <v>6.4</v>
      </c>
      <c r="N112" s="15">
        <v>5.3</v>
      </c>
      <c r="O112" s="15">
        <v>5.4</v>
      </c>
    </row>
    <row r="113" spans="1:15" x14ac:dyDescent="0.25">
      <c r="A113" s="21" t="s">
        <v>100</v>
      </c>
      <c r="C113" s="11">
        <v>17046</v>
      </c>
      <c r="D113" s="11">
        <v>8648</v>
      </c>
      <c r="E113" s="11">
        <v>8398</v>
      </c>
      <c r="F113" s="12">
        <f t="shared" si="0"/>
        <v>0</v>
      </c>
      <c r="G113" s="13">
        <f t="shared" si="1"/>
        <v>0</v>
      </c>
      <c r="H113" s="14">
        <f t="shared" si="2"/>
        <v>0</v>
      </c>
      <c r="I113" s="11">
        <v>96.16</v>
      </c>
      <c r="J113" s="15">
        <v>3.7</v>
      </c>
      <c r="K113" s="15" t="s">
        <v>303</v>
      </c>
      <c r="L113" s="16">
        <v>6.1</v>
      </c>
      <c r="M113" s="16">
        <v>5.7</v>
      </c>
      <c r="N113" s="15">
        <v>5</v>
      </c>
      <c r="O113" s="15">
        <v>4.7</v>
      </c>
    </row>
    <row r="114" spans="1:15" x14ac:dyDescent="0.25">
      <c r="A114" s="21" t="s">
        <v>199</v>
      </c>
      <c r="C114" s="11">
        <v>11881</v>
      </c>
      <c r="D114" s="11">
        <v>5949</v>
      </c>
      <c r="E114" s="11">
        <v>5932</v>
      </c>
      <c r="F114" s="12">
        <f t="shared" si="0"/>
        <v>0</v>
      </c>
      <c r="G114" s="13">
        <f t="shared" si="1"/>
        <v>0</v>
      </c>
      <c r="H114" s="14">
        <f t="shared" si="2"/>
        <v>0</v>
      </c>
      <c r="I114" s="11">
        <v>93.15</v>
      </c>
      <c r="J114" s="15">
        <v>3.9</v>
      </c>
      <c r="K114" s="15">
        <v>4.2</v>
      </c>
      <c r="L114" s="16">
        <v>5.9</v>
      </c>
      <c r="M114" s="16">
        <v>5.4</v>
      </c>
      <c r="N114" s="15">
        <v>5.5</v>
      </c>
      <c r="O114" s="15">
        <v>4.7</v>
      </c>
    </row>
    <row r="115" spans="1:15" x14ac:dyDescent="0.25">
      <c r="A115" s="21" t="s">
        <v>70</v>
      </c>
      <c r="C115" s="11">
        <v>52579</v>
      </c>
      <c r="D115" s="11">
        <v>25786</v>
      </c>
      <c r="E115" s="11">
        <v>26793</v>
      </c>
      <c r="F115" s="12">
        <f t="shared" si="0"/>
        <v>0</v>
      </c>
      <c r="G115" s="13">
        <f t="shared" si="1"/>
        <v>0</v>
      </c>
      <c r="H115" s="14">
        <f t="shared" si="2"/>
        <v>0</v>
      </c>
      <c r="I115" s="11">
        <v>96.77</v>
      </c>
      <c r="J115" s="15" t="s">
        <v>303</v>
      </c>
      <c r="K115" s="15">
        <v>3.8</v>
      </c>
      <c r="L115" s="16">
        <v>5.8</v>
      </c>
      <c r="M115" s="16">
        <v>6.2</v>
      </c>
      <c r="N115" s="15">
        <v>4.8</v>
      </c>
      <c r="O115" s="15">
        <v>4.8</v>
      </c>
    </row>
    <row r="116" spans="1:15" x14ac:dyDescent="0.25">
      <c r="A116" s="21" t="s">
        <v>183</v>
      </c>
      <c r="C116" s="11">
        <v>5982</v>
      </c>
      <c r="D116" s="11">
        <v>3007</v>
      </c>
      <c r="E116" s="11">
        <v>2975</v>
      </c>
      <c r="F116" s="12">
        <f t="shared" si="0"/>
        <v>0</v>
      </c>
      <c r="G116" s="13">
        <f t="shared" si="1"/>
        <v>0</v>
      </c>
      <c r="H116" s="14">
        <f t="shared" si="2"/>
        <v>0</v>
      </c>
      <c r="I116" s="11">
        <v>96.17</v>
      </c>
      <c r="J116" s="15">
        <v>4.4000000000000004</v>
      </c>
      <c r="K116" s="15" t="s">
        <v>303</v>
      </c>
      <c r="L116" s="16">
        <v>5.8</v>
      </c>
      <c r="M116" s="16">
        <v>6.3</v>
      </c>
      <c r="N116" s="15">
        <v>4.5</v>
      </c>
      <c r="O116" s="15">
        <v>5.4</v>
      </c>
    </row>
    <row r="117" spans="1:15" x14ac:dyDescent="0.25">
      <c r="A117" s="21" t="s">
        <v>67</v>
      </c>
      <c r="C117" s="11">
        <v>71549</v>
      </c>
      <c r="D117" s="11">
        <v>35513</v>
      </c>
      <c r="E117" s="11">
        <v>36036</v>
      </c>
      <c r="F117" s="12">
        <f t="shared" si="0"/>
        <v>0</v>
      </c>
      <c r="G117" s="13">
        <f t="shared" si="1"/>
        <v>0</v>
      </c>
      <c r="H117" s="14">
        <f t="shared" si="2"/>
        <v>0</v>
      </c>
      <c r="I117" s="11">
        <v>98.03</v>
      </c>
      <c r="J117" s="15">
        <v>3.4</v>
      </c>
      <c r="K117" s="15">
        <v>3.8</v>
      </c>
      <c r="L117" s="16">
        <v>6.4</v>
      </c>
      <c r="M117" s="16">
        <v>6.3</v>
      </c>
      <c r="N117" s="15">
        <v>5.5</v>
      </c>
      <c r="O117" s="15">
        <v>5.4</v>
      </c>
    </row>
    <row r="118" spans="1:15" x14ac:dyDescent="0.25">
      <c r="A118" s="21" t="s">
        <v>286</v>
      </c>
      <c r="C118" s="11">
        <v>2877</v>
      </c>
      <c r="D118" s="11">
        <v>1461</v>
      </c>
      <c r="E118" s="11">
        <v>1416</v>
      </c>
      <c r="F118" s="12">
        <f t="shared" si="0"/>
        <v>0</v>
      </c>
      <c r="G118" s="13">
        <f t="shared" si="1"/>
        <v>0</v>
      </c>
      <c r="H118" s="14">
        <f t="shared" si="2"/>
        <v>0</v>
      </c>
      <c r="I118" s="11">
        <v>98.07</v>
      </c>
      <c r="J118" s="15" t="s">
        <v>303</v>
      </c>
      <c r="K118" s="15">
        <v>4.7</v>
      </c>
      <c r="L118" s="16">
        <v>6.1</v>
      </c>
      <c r="M118" s="16">
        <v>6.6</v>
      </c>
      <c r="N118" s="15">
        <v>5.6</v>
      </c>
      <c r="O118" s="15">
        <v>6.2</v>
      </c>
    </row>
    <row r="119" spans="1:15" x14ac:dyDescent="0.25">
      <c r="A119" s="21" t="s">
        <v>206</v>
      </c>
      <c r="C119" s="11">
        <v>4578</v>
      </c>
      <c r="D119" s="11">
        <v>2254</v>
      </c>
      <c r="E119" s="11">
        <v>2324</v>
      </c>
      <c r="F119" s="12">
        <f t="shared" si="0"/>
        <v>0</v>
      </c>
      <c r="G119" s="13">
        <f t="shared" si="1"/>
        <v>0</v>
      </c>
      <c r="H119" s="14">
        <f t="shared" si="2"/>
        <v>0</v>
      </c>
      <c r="I119" s="11">
        <v>97.06</v>
      </c>
      <c r="J119" s="15" t="s">
        <v>303</v>
      </c>
      <c r="K119" s="15" t="s">
        <v>303</v>
      </c>
      <c r="L119" s="16">
        <v>6.6</v>
      </c>
      <c r="M119" s="16">
        <v>7.3</v>
      </c>
      <c r="N119" s="15">
        <v>5.4</v>
      </c>
      <c r="O119" s="15">
        <v>5.7</v>
      </c>
    </row>
    <row r="120" spans="1:15" x14ac:dyDescent="0.25">
      <c r="A120" s="21" t="s">
        <v>217</v>
      </c>
      <c r="C120" s="11">
        <v>9335</v>
      </c>
      <c r="D120" s="11">
        <v>4705</v>
      </c>
      <c r="E120" s="11">
        <v>4630</v>
      </c>
      <c r="F120" s="12">
        <f t="shared" si="0"/>
        <v>0</v>
      </c>
      <c r="G120" s="13">
        <f t="shared" si="1"/>
        <v>0</v>
      </c>
      <c r="H120" s="14">
        <f t="shared" si="2"/>
        <v>0</v>
      </c>
      <c r="I120" s="11">
        <v>97.22</v>
      </c>
      <c r="J120" s="15">
        <v>5</v>
      </c>
      <c r="K120" s="15">
        <v>4.8</v>
      </c>
      <c r="L120" s="16">
        <v>7.2</v>
      </c>
      <c r="M120" s="16">
        <v>7.1</v>
      </c>
      <c r="N120" s="15">
        <v>5.7</v>
      </c>
      <c r="O120" s="15">
        <v>6.1</v>
      </c>
    </row>
    <row r="121" spans="1:15" x14ac:dyDescent="0.25">
      <c r="A121" s="21" t="s">
        <v>237</v>
      </c>
      <c r="C121" s="11">
        <v>7730</v>
      </c>
      <c r="D121" s="11">
        <v>3944</v>
      </c>
      <c r="E121" s="11">
        <v>3786</v>
      </c>
      <c r="F121" s="12">
        <f t="shared" si="0"/>
        <v>0</v>
      </c>
      <c r="G121" s="13">
        <f t="shared" si="1"/>
        <v>0</v>
      </c>
      <c r="H121" s="14">
        <f t="shared" si="2"/>
        <v>0</v>
      </c>
      <c r="I121" s="11">
        <v>92.17</v>
      </c>
      <c r="J121" s="15" t="s">
        <v>303</v>
      </c>
      <c r="K121" s="15" t="s">
        <v>303</v>
      </c>
      <c r="L121" s="16">
        <v>6.8</v>
      </c>
      <c r="M121" s="16">
        <v>6.7</v>
      </c>
      <c r="N121" s="15">
        <v>4.5</v>
      </c>
      <c r="O121" s="15">
        <v>4.4000000000000004</v>
      </c>
    </row>
    <row r="122" spans="1:15" x14ac:dyDescent="0.25">
      <c r="A122" s="21" t="s">
        <v>187</v>
      </c>
      <c r="C122" s="11">
        <v>7816</v>
      </c>
      <c r="D122" s="11">
        <v>3999</v>
      </c>
      <c r="E122" s="11">
        <v>3817</v>
      </c>
      <c r="F122" s="12">
        <f t="shared" si="0"/>
        <v>0</v>
      </c>
      <c r="G122" s="13">
        <f t="shared" si="1"/>
        <v>0</v>
      </c>
      <c r="H122" s="14">
        <f t="shared" si="2"/>
        <v>0</v>
      </c>
      <c r="I122" s="11">
        <v>95.65</v>
      </c>
      <c r="J122" s="15" t="s">
        <v>303</v>
      </c>
      <c r="K122" s="15">
        <v>4.8</v>
      </c>
      <c r="L122" s="16">
        <v>6</v>
      </c>
      <c r="M122" s="16">
        <v>6.9</v>
      </c>
      <c r="N122" s="15">
        <v>5.8</v>
      </c>
      <c r="O122" s="15">
        <v>5.4</v>
      </c>
    </row>
    <row r="123" spans="1:15" x14ac:dyDescent="0.25">
      <c r="A123" s="21" t="s">
        <v>220</v>
      </c>
      <c r="C123" s="11">
        <v>3986</v>
      </c>
      <c r="D123" s="11">
        <v>2039</v>
      </c>
      <c r="E123" s="11">
        <v>1947</v>
      </c>
      <c r="F123" s="12">
        <f t="shared" si="0"/>
        <v>0</v>
      </c>
      <c r="G123" s="13">
        <f t="shared" si="1"/>
        <v>0</v>
      </c>
      <c r="H123" s="14">
        <f t="shared" si="2"/>
        <v>0</v>
      </c>
      <c r="I123" s="11">
        <v>95.68</v>
      </c>
      <c r="J123" s="15">
        <v>4.8</v>
      </c>
      <c r="K123" s="15">
        <v>4.5</v>
      </c>
      <c r="L123" s="16">
        <v>6.9</v>
      </c>
      <c r="M123" s="16">
        <v>6.8</v>
      </c>
      <c r="N123" s="15">
        <v>5.3</v>
      </c>
      <c r="O123" s="15">
        <v>5</v>
      </c>
    </row>
    <row r="124" spans="1:15" x14ac:dyDescent="0.25">
      <c r="A124" s="21" t="s">
        <v>79</v>
      </c>
      <c r="C124" s="11">
        <v>10195</v>
      </c>
      <c r="D124" s="11">
        <v>5200</v>
      </c>
      <c r="E124" s="11">
        <v>4995</v>
      </c>
      <c r="F124" s="12">
        <f t="shared" si="0"/>
        <v>0</v>
      </c>
      <c r="G124" s="13">
        <f t="shared" si="1"/>
        <v>0</v>
      </c>
      <c r="H124" s="14">
        <f t="shared" si="2"/>
        <v>0</v>
      </c>
      <c r="I124" s="11">
        <v>94.88</v>
      </c>
      <c r="J124" s="15" t="s">
        <v>303</v>
      </c>
      <c r="K124" s="15" t="s">
        <v>303</v>
      </c>
      <c r="L124" s="16">
        <v>5.7</v>
      </c>
      <c r="M124" s="16">
        <v>5.9</v>
      </c>
      <c r="N124" s="15">
        <v>4.7</v>
      </c>
      <c r="O124" s="15">
        <v>4.8</v>
      </c>
    </row>
    <row r="125" spans="1:15" x14ac:dyDescent="0.25">
      <c r="A125" s="21" t="s">
        <v>247</v>
      </c>
      <c r="C125" s="11">
        <v>2069</v>
      </c>
      <c r="D125" s="11">
        <v>1045</v>
      </c>
      <c r="E125" s="11">
        <v>1024</v>
      </c>
      <c r="F125" s="12">
        <f t="shared" si="0"/>
        <v>0</v>
      </c>
      <c r="G125" s="13">
        <f t="shared" si="1"/>
        <v>0</v>
      </c>
      <c r="H125" s="14">
        <f t="shared" si="2"/>
        <v>0</v>
      </c>
      <c r="I125" s="11">
        <v>92.23</v>
      </c>
      <c r="J125" s="15" t="s">
        <v>303</v>
      </c>
      <c r="K125" s="15">
        <v>3.8</v>
      </c>
      <c r="L125" s="16">
        <v>7.5</v>
      </c>
      <c r="M125" s="16">
        <v>6.3</v>
      </c>
      <c r="N125" s="15">
        <v>4.8</v>
      </c>
      <c r="O125" s="15">
        <v>4.3</v>
      </c>
    </row>
    <row r="126" spans="1:15" x14ac:dyDescent="0.25">
      <c r="A126" s="21" t="s">
        <v>209</v>
      </c>
      <c r="C126" s="11">
        <v>10285</v>
      </c>
      <c r="D126" s="11">
        <v>5244</v>
      </c>
      <c r="E126" s="11">
        <v>5041</v>
      </c>
      <c r="F126" s="12">
        <f t="shared" si="0"/>
        <v>0</v>
      </c>
      <c r="G126" s="13">
        <f t="shared" si="1"/>
        <v>0</v>
      </c>
      <c r="H126" s="14">
        <f t="shared" si="2"/>
        <v>0</v>
      </c>
      <c r="I126" s="11">
        <v>94.46</v>
      </c>
      <c r="J126" s="15" t="s">
        <v>303</v>
      </c>
      <c r="K126" s="15" t="s">
        <v>303</v>
      </c>
      <c r="L126" s="16">
        <v>7</v>
      </c>
      <c r="M126" s="16">
        <v>7.5</v>
      </c>
      <c r="N126" s="15">
        <v>5.4</v>
      </c>
      <c r="O126" s="15">
        <v>5.8</v>
      </c>
    </row>
    <row r="127" spans="1:15" x14ac:dyDescent="0.25">
      <c r="A127" s="21" t="s">
        <v>130</v>
      </c>
      <c r="C127" s="11">
        <v>7067</v>
      </c>
      <c r="D127" s="11">
        <v>3541</v>
      </c>
      <c r="E127" s="11">
        <v>3526</v>
      </c>
      <c r="F127" s="12">
        <f t="shared" si="0"/>
        <v>0</v>
      </c>
      <c r="G127" s="13">
        <f t="shared" si="1"/>
        <v>0</v>
      </c>
      <c r="H127" s="14">
        <f t="shared" si="2"/>
        <v>0</v>
      </c>
      <c r="I127" s="11">
        <v>95.47</v>
      </c>
      <c r="J127" s="15" t="s">
        <v>303</v>
      </c>
      <c r="K127" s="15" t="s">
        <v>303</v>
      </c>
      <c r="L127" s="16">
        <v>6.9</v>
      </c>
      <c r="M127" s="16">
        <v>6.5</v>
      </c>
      <c r="N127" s="15">
        <v>5.8</v>
      </c>
      <c r="O127" s="15">
        <v>5.8</v>
      </c>
    </row>
    <row r="128" spans="1:15" x14ac:dyDescent="0.25">
      <c r="A128" s="21" t="s">
        <v>125</v>
      </c>
      <c r="C128" s="11">
        <v>22051</v>
      </c>
      <c r="D128" s="11">
        <v>11353</v>
      </c>
      <c r="E128" s="11">
        <v>10698</v>
      </c>
      <c r="F128" s="12">
        <f t="shared" si="0"/>
        <v>0</v>
      </c>
      <c r="G128" s="13">
        <f t="shared" si="1"/>
        <v>0</v>
      </c>
      <c r="H128" s="14">
        <f t="shared" si="2"/>
        <v>0</v>
      </c>
      <c r="I128" s="11">
        <v>96.68</v>
      </c>
      <c r="J128" s="15">
        <v>3.3</v>
      </c>
      <c r="K128" s="15">
        <v>4</v>
      </c>
      <c r="L128" s="16">
        <v>5.7</v>
      </c>
      <c r="M128" s="16">
        <v>5.9</v>
      </c>
      <c r="N128" s="15">
        <v>5.0999999999999996</v>
      </c>
      <c r="O128" s="15">
        <v>5</v>
      </c>
    </row>
    <row r="129" spans="1:15" x14ac:dyDescent="0.25">
      <c r="A129" s="21" t="s">
        <v>57</v>
      </c>
      <c r="C129" s="11">
        <v>264054</v>
      </c>
      <c r="D129" s="11">
        <v>129722</v>
      </c>
      <c r="E129" s="11">
        <v>134332</v>
      </c>
      <c r="F129" s="12">
        <f t="shared" si="0"/>
        <v>0</v>
      </c>
      <c r="G129" s="13">
        <f t="shared" si="1"/>
        <v>0</v>
      </c>
      <c r="H129" s="14">
        <f t="shared" si="2"/>
        <v>0</v>
      </c>
      <c r="I129" s="11">
        <v>98.12</v>
      </c>
      <c r="J129" s="15" t="s">
        <v>303</v>
      </c>
      <c r="K129" s="15">
        <v>3.6</v>
      </c>
      <c r="L129" s="16">
        <v>6.3</v>
      </c>
      <c r="M129" s="16">
        <v>6.2</v>
      </c>
      <c r="N129" s="15">
        <v>5.3</v>
      </c>
      <c r="O129" s="15">
        <v>5.2</v>
      </c>
    </row>
    <row r="130" spans="1:15" x14ac:dyDescent="0.25">
      <c r="A130" s="21" t="s">
        <v>41</v>
      </c>
      <c r="C130" s="11">
        <v>75940</v>
      </c>
      <c r="D130" s="11">
        <v>37280</v>
      </c>
      <c r="E130" s="11">
        <v>38660</v>
      </c>
      <c r="F130" s="12">
        <f t="shared" si="0"/>
        <v>0</v>
      </c>
      <c r="G130" s="13">
        <f t="shared" si="1"/>
        <v>0</v>
      </c>
      <c r="H130" s="14">
        <f t="shared" si="2"/>
        <v>0</v>
      </c>
      <c r="I130" s="11">
        <v>98.14</v>
      </c>
      <c r="J130" s="15" t="s">
        <v>303</v>
      </c>
      <c r="K130" s="15">
        <v>3.7</v>
      </c>
      <c r="L130" s="16">
        <v>6.2</v>
      </c>
      <c r="M130" s="16">
        <v>6.4</v>
      </c>
      <c r="N130" s="15">
        <v>5.5</v>
      </c>
      <c r="O130" s="15">
        <v>5.5</v>
      </c>
    </row>
    <row r="131" spans="1:15" x14ac:dyDescent="0.25">
      <c r="A131" s="21" t="s">
        <v>229</v>
      </c>
      <c r="C131" s="11">
        <v>16638</v>
      </c>
      <c r="D131" s="11">
        <v>8430</v>
      </c>
      <c r="E131" s="11">
        <v>8208</v>
      </c>
      <c r="F131" s="12">
        <f t="shared" si="0"/>
        <v>0</v>
      </c>
      <c r="G131" s="13">
        <f t="shared" si="1"/>
        <v>0</v>
      </c>
      <c r="H131" s="14">
        <f t="shared" si="2"/>
        <v>0</v>
      </c>
      <c r="I131" s="11">
        <v>97.81</v>
      </c>
      <c r="J131" s="15">
        <v>4.7</v>
      </c>
      <c r="K131" s="15">
        <v>5</v>
      </c>
      <c r="L131" s="16">
        <v>6.9</v>
      </c>
      <c r="M131" s="16">
        <v>6.9</v>
      </c>
      <c r="N131" s="15">
        <v>5.5</v>
      </c>
      <c r="O131" s="15">
        <v>5.6</v>
      </c>
    </row>
    <row r="132" spans="1:15" x14ac:dyDescent="0.25">
      <c r="A132" s="21" t="s">
        <v>132</v>
      </c>
      <c r="C132" s="11">
        <v>30750</v>
      </c>
      <c r="D132" s="11">
        <v>15321</v>
      </c>
      <c r="E132" s="11">
        <v>15429</v>
      </c>
      <c r="F132" s="12">
        <f t="shared" si="0"/>
        <v>0</v>
      </c>
      <c r="G132" s="13">
        <f t="shared" si="1"/>
        <v>0</v>
      </c>
      <c r="H132" s="14">
        <f t="shared" si="2"/>
        <v>0</v>
      </c>
      <c r="I132" s="11">
        <v>97.61</v>
      </c>
      <c r="J132" s="15">
        <v>3.4</v>
      </c>
      <c r="K132" s="15" t="s">
        <v>303</v>
      </c>
      <c r="L132" s="16">
        <v>6.3</v>
      </c>
      <c r="M132" s="16">
        <v>6</v>
      </c>
      <c r="N132" s="15">
        <v>5.4</v>
      </c>
      <c r="O132" s="15">
        <v>5.0999999999999996</v>
      </c>
    </row>
    <row r="133" spans="1:15" x14ac:dyDescent="0.25">
      <c r="A133" s="21" t="s">
        <v>157</v>
      </c>
      <c r="C133" s="11">
        <v>26525</v>
      </c>
      <c r="D133" s="11">
        <v>13238</v>
      </c>
      <c r="E133" s="11">
        <v>13287</v>
      </c>
      <c r="F133" s="12">
        <f t="shared" si="0"/>
        <v>0</v>
      </c>
      <c r="G133" s="13">
        <f t="shared" si="1"/>
        <v>0</v>
      </c>
      <c r="H133" s="14">
        <f t="shared" si="2"/>
        <v>0</v>
      </c>
      <c r="I133" s="11">
        <v>96.96</v>
      </c>
      <c r="J133" s="15">
        <v>4.2</v>
      </c>
      <c r="K133" s="15">
        <v>4.3</v>
      </c>
      <c r="L133" s="16">
        <v>6.1</v>
      </c>
      <c r="M133" s="16">
        <v>6.2</v>
      </c>
      <c r="N133" s="15">
        <v>4.7</v>
      </c>
      <c r="O133" s="15">
        <v>4.8</v>
      </c>
    </row>
    <row r="134" spans="1:15" x14ac:dyDescent="0.25">
      <c r="A134" s="21" t="s">
        <v>158</v>
      </c>
      <c r="C134" s="11">
        <v>4310</v>
      </c>
      <c r="D134" s="11">
        <v>2164</v>
      </c>
      <c r="E134" s="11">
        <v>2146</v>
      </c>
      <c r="F134" s="12">
        <f t="shared" si="0"/>
        <v>0</v>
      </c>
      <c r="G134" s="13">
        <f t="shared" si="1"/>
        <v>0</v>
      </c>
      <c r="H134" s="14">
        <f t="shared" si="2"/>
        <v>0</v>
      </c>
      <c r="I134" s="11">
        <v>95.34</v>
      </c>
      <c r="J134" s="15" t="s">
        <v>303</v>
      </c>
      <c r="K134" s="15" t="s">
        <v>303</v>
      </c>
      <c r="L134" s="16">
        <v>5.6</v>
      </c>
      <c r="M134" s="16">
        <v>5.9</v>
      </c>
      <c r="N134" s="15">
        <v>5.0999999999999996</v>
      </c>
      <c r="O134" s="15" t="s">
        <v>303</v>
      </c>
    </row>
    <row r="135" spans="1:15" x14ac:dyDescent="0.25">
      <c r="A135" s="21" t="s">
        <v>216</v>
      </c>
      <c r="C135" s="11">
        <v>10624</v>
      </c>
      <c r="D135" s="11">
        <v>5340</v>
      </c>
      <c r="E135" s="11">
        <v>5284</v>
      </c>
      <c r="F135" s="12">
        <f t="shared" si="0"/>
        <v>0</v>
      </c>
      <c r="G135" s="13">
        <f t="shared" si="1"/>
        <v>0</v>
      </c>
      <c r="H135" s="14">
        <f t="shared" si="2"/>
        <v>0</v>
      </c>
      <c r="I135" s="11">
        <v>95.01</v>
      </c>
      <c r="J135" s="15" t="s">
        <v>303</v>
      </c>
      <c r="K135" s="15" t="s">
        <v>303</v>
      </c>
      <c r="L135" s="16">
        <v>6.1</v>
      </c>
      <c r="M135" s="16">
        <v>6.7</v>
      </c>
      <c r="N135" s="15">
        <v>5</v>
      </c>
      <c r="O135" s="15">
        <v>5.2</v>
      </c>
    </row>
    <row r="136" spans="1:15" x14ac:dyDescent="0.25">
      <c r="A136" s="21" t="s">
        <v>109</v>
      </c>
      <c r="C136" s="11">
        <v>20375</v>
      </c>
      <c r="D136" s="11">
        <v>10039</v>
      </c>
      <c r="E136" s="11">
        <v>10336</v>
      </c>
      <c r="F136" s="12">
        <f t="shared" si="0"/>
        <v>0</v>
      </c>
      <c r="G136" s="13">
        <f t="shared" si="1"/>
        <v>0</v>
      </c>
      <c r="H136" s="14">
        <f t="shared" si="2"/>
        <v>0</v>
      </c>
      <c r="I136" s="11">
        <v>96.92</v>
      </c>
      <c r="J136" s="15" t="s">
        <v>303</v>
      </c>
      <c r="K136" s="15" t="s">
        <v>303</v>
      </c>
      <c r="L136" s="16">
        <v>6</v>
      </c>
      <c r="M136" s="16">
        <v>5.9</v>
      </c>
      <c r="N136" s="15">
        <v>4.7</v>
      </c>
      <c r="O136" s="15">
        <v>4.5</v>
      </c>
    </row>
    <row r="137" spans="1:15" x14ac:dyDescent="0.25">
      <c r="A137" s="21" t="s">
        <v>44</v>
      </c>
      <c r="C137" s="11">
        <v>182660</v>
      </c>
      <c r="D137" s="11">
        <v>90354</v>
      </c>
      <c r="E137" s="11">
        <v>92306</v>
      </c>
      <c r="F137" s="12">
        <f t="shared" si="0"/>
        <v>0</v>
      </c>
      <c r="G137" s="13">
        <f t="shared" si="1"/>
        <v>0</v>
      </c>
      <c r="H137" s="14">
        <f t="shared" si="2"/>
        <v>0</v>
      </c>
      <c r="I137" s="11">
        <v>98.56</v>
      </c>
      <c r="J137" s="15">
        <v>4</v>
      </c>
      <c r="K137" s="15">
        <v>4.4000000000000004</v>
      </c>
      <c r="L137" s="16">
        <v>6.9</v>
      </c>
      <c r="M137" s="16">
        <v>6.9</v>
      </c>
      <c r="N137" s="15">
        <v>5.8</v>
      </c>
      <c r="O137" s="15">
        <v>5.7</v>
      </c>
    </row>
    <row r="138" spans="1:15" x14ac:dyDescent="0.25">
      <c r="A138" s="21" t="s">
        <v>274</v>
      </c>
      <c r="C138" s="11">
        <v>1776</v>
      </c>
      <c r="D138" s="11">
        <v>899</v>
      </c>
      <c r="E138" s="11">
        <v>877</v>
      </c>
      <c r="F138" s="12">
        <f t="shared" si="0"/>
        <v>0</v>
      </c>
      <c r="G138" s="13">
        <f t="shared" si="1"/>
        <v>0</v>
      </c>
      <c r="H138" s="14">
        <f t="shared" si="2"/>
        <v>0</v>
      </c>
      <c r="I138" s="11">
        <v>94.94</v>
      </c>
      <c r="J138" s="15">
        <v>4.5999999999999996</v>
      </c>
      <c r="K138" s="15" t="s">
        <v>303</v>
      </c>
      <c r="L138" s="16">
        <v>7</v>
      </c>
      <c r="M138" s="16">
        <v>6.9</v>
      </c>
      <c r="N138" s="15">
        <v>4.0999999999999996</v>
      </c>
      <c r="O138" s="15">
        <v>4.0999999999999996</v>
      </c>
    </row>
    <row r="139" spans="1:15" x14ac:dyDescent="0.25">
      <c r="A139" s="21" t="s">
        <v>96</v>
      </c>
      <c r="C139" s="11">
        <v>30146</v>
      </c>
      <c r="D139" s="11">
        <v>14663</v>
      </c>
      <c r="E139" s="11">
        <v>15483</v>
      </c>
      <c r="F139" s="12">
        <f t="shared" si="0"/>
        <v>0</v>
      </c>
      <c r="G139" s="13">
        <f t="shared" si="1"/>
        <v>0</v>
      </c>
      <c r="H139" s="14">
        <f t="shared" si="2"/>
        <v>0</v>
      </c>
      <c r="I139" s="11">
        <v>97.5</v>
      </c>
      <c r="J139" s="15">
        <v>3.6</v>
      </c>
      <c r="K139" s="15">
        <v>3.8</v>
      </c>
      <c r="L139" s="16">
        <v>6.2</v>
      </c>
      <c r="M139" s="16">
        <v>6.3</v>
      </c>
      <c r="N139" s="15">
        <v>5.2</v>
      </c>
      <c r="O139" s="15">
        <v>4.9000000000000004</v>
      </c>
    </row>
    <row r="140" spans="1:15" x14ac:dyDescent="0.25">
      <c r="A140" s="21" t="s">
        <v>30</v>
      </c>
      <c r="C140" s="11">
        <v>616317</v>
      </c>
      <c r="D140" s="11">
        <v>302991</v>
      </c>
      <c r="E140" s="11">
        <v>313326</v>
      </c>
      <c r="F140" s="12">
        <f t="shared" si="0"/>
        <v>0</v>
      </c>
      <c r="G140" s="13">
        <f t="shared" si="1"/>
        <v>0</v>
      </c>
      <c r="H140" s="14">
        <f t="shared" si="2"/>
        <v>0</v>
      </c>
      <c r="I140" s="11">
        <v>98.43</v>
      </c>
      <c r="J140" s="15" t="s">
        <v>303</v>
      </c>
      <c r="K140" s="15">
        <v>4.0999999999999996</v>
      </c>
      <c r="L140" s="16">
        <v>6.7</v>
      </c>
      <c r="M140" s="16">
        <v>6.9</v>
      </c>
      <c r="N140" s="15">
        <v>5.6</v>
      </c>
      <c r="O140" s="15">
        <v>5.7</v>
      </c>
    </row>
    <row r="141" spans="1:15" x14ac:dyDescent="0.25">
      <c r="A141" s="21" t="s">
        <v>141</v>
      </c>
      <c r="C141" s="11">
        <v>5985</v>
      </c>
      <c r="D141" s="11">
        <v>3058</v>
      </c>
      <c r="E141" s="11">
        <v>2927</v>
      </c>
      <c r="F141" s="12">
        <f t="shared" si="0"/>
        <v>0</v>
      </c>
      <c r="G141" s="13">
        <f t="shared" si="1"/>
        <v>0</v>
      </c>
      <c r="H141" s="14">
        <f t="shared" si="2"/>
        <v>0</v>
      </c>
      <c r="I141" s="11">
        <v>96.2</v>
      </c>
      <c r="J141" s="15">
        <v>2.8</v>
      </c>
      <c r="K141" s="15">
        <v>3.9</v>
      </c>
      <c r="L141" s="16">
        <v>5.7</v>
      </c>
      <c r="M141" s="16">
        <v>6.2</v>
      </c>
      <c r="N141" s="15">
        <v>4.3</v>
      </c>
      <c r="O141" s="15">
        <v>4.4000000000000004</v>
      </c>
    </row>
    <row r="142" spans="1:15" x14ac:dyDescent="0.25">
      <c r="A142" s="21" t="s">
        <v>170</v>
      </c>
      <c r="C142" s="11">
        <v>2555</v>
      </c>
      <c r="D142" s="11">
        <v>1317</v>
      </c>
      <c r="E142" s="11">
        <v>1238</v>
      </c>
      <c r="F142" s="12">
        <f t="shared" si="0"/>
        <v>0</v>
      </c>
      <c r="G142" s="13">
        <f t="shared" si="1"/>
        <v>0</v>
      </c>
      <c r="H142" s="14">
        <f t="shared" si="2"/>
        <v>0</v>
      </c>
      <c r="I142" s="11">
        <v>92.86</v>
      </c>
      <c r="J142" s="15">
        <v>4.4000000000000004</v>
      </c>
      <c r="K142" s="15">
        <v>3.7</v>
      </c>
      <c r="L142" s="16">
        <v>5.6</v>
      </c>
      <c r="M142" s="16">
        <v>5.9</v>
      </c>
      <c r="N142" s="15">
        <v>4.5999999999999996</v>
      </c>
      <c r="O142" s="15">
        <v>5.0999999999999996</v>
      </c>
    </row>
    <row r="143" spans="1:15" x14ac:dyDescent="0.25">
      <c r="A143" s="21" t="s">
        <v>268</v>
      </c>
      <c r="C143" s="11">
        <v>2248</v>
      </c>
      <c r="D143" s="11">
        <v>1113</v>
      </c>
      <c r="E143" s="11">
        <v>1135</v>
      </c>
      <c r="F143" s="12">
        <f t="shared" si="0"/>
        <v>0</v>
      </c>
      <c r="G143" s="13">
        <f t="shared" si="1"/>
        <v>0</v>
      </c>
      <c r="H143" s="14">
        <f t="shared" si="2"/>
        <v>0</v>
      </c>
      <c r="I143" s="11">
        <v>96.69</v>
      </c>
      <c r="J143" s="15" t="s">
        <v>303</v>
      </c>
      <c r="K143" s="15">
        <v>3.6</v>
      </c>
      <c r="L143" s="16">
        <v>6.6</v>
      </c>
      <c r="M143" s="16">
        <v>6.6</v>
      </c>
      <c r="N143" s="15" t="s">
        <v>303</v>
      </c>
      <c r="O143" s="15">
        <v>5.3</v>
      </c>
    </row>
    <row r="144" spans="1:15" x14ac:dyDescent="0.25">
      <c r="A144" s="21" t="s">
        <v>84</v>
      </c>
      <c r="C144" s="11">
        <v>164981</v>
      </c>
      <c r="D144" s="11">
        <v>79826</v>
      </c>
      <c r="E144" s="11">
        <v>85155</v>
      </c>
      <c r="F144" s="12">
        <f t="shared" si="0"/>
        <v>0</v>
      </c>
      <c r="G144" s="13">
        <f t="shared" si="1"/>
        <v>0</v>
      </c>
      <c r="H144" s="14">
        <f t="shared" si="2"/>
        <v>0</v>
      </c>
      <c r="I144" s="11">
        <v>96.41</v>
      </c>
      <c r="J144" s="15">
        <v>3.4</v>
      </c>
      <c r="K144" s="15">
        <v>3.6</v>
      </c>
      <c r="L144" s="16">
        <v>5.7</v>
      </c>
      <c r="M144" s="16">
        <v>5.3</v>
      </c>
      <c r="N144" s="15">
        <v>4.5</v>
      </c>
      <c r="O144" s="15">
        <v>4.3</v>
      </c>
    </row>
    <row r="145" spans="1:15" x14ac:dyDescent="0.25">
      <c r="A145" s="21" t="s">
        <v>58</v>
      </c>
      <c r="C145" s="11">
        <v>42785</v>
      </c>
      <c r="D145" s="11">
        <v>20837</v>
      </c>
      <c r="E145" s="11">
        <v>21948</v>
      </c>
      <c r="F145" s="12">
        <f t="shared" si="0"/>
        <v>0</v>
      </c>
      <c r="G145" s="13">
        <f t="shared" si="1"/>
        <v>0</v>
      </c>
      <c r="H145" s="14">
        <f t="shared" si="2"/>
        <v>0</v>
      </c>
      <c r="I145" s="11">
        <v>97.1</v>
      </c>
      <c r="J145" s="15" t="s">
        <v>303</v>
      </c>
      <c r="K145" s="15">
        <v>3.7</v>
      </c>
      <c r="L145" s="16">
        <v>5.9</v>
      </c>
      <c r="M145" s="16">
        <v>5.7</v>
      </c>
      <c r="N145" s="15">
        <v>4.5</v>
      </c>
      <c r="O145" s="15">
        <v>4.7</v>
      </c>
    </row>
    <row r="146" spans="1:15" x14ac:dyDescent="0.25">
      <c r="A146" s="21" t="s">
        <v>151</v>
      </c>
      <c r="C146" s="11">
        <v>1702</v>
      </c>
      <c r="D146" s="11">
        <v>867</v>
      </c>
      <c r="E146" s="11">
        <v>835</v>
      </c>
      <c r="F146" s="12">
        <f t="shared" si="0"/>
        <v>0</v>
      </c>
      <c r="G146" s="13">
        <f t="shared" si="1"/>
        <v>0</v>
      </c>
      <c r="H146" s="14">
        <f t="shared" si="2"/>
        <v>0</v>
      </c>
      <c r="I146" s="11">
        <v>94.19</v>
      </c>
      <c r="J146" s="15" t="s">
        <v>303</v>
      </c>
      <c r="K146" s="15">
        <v>4.2</v>
      </c>
      <c r="L146" s="16">
        <v>5.8</v>
      </c>
      <c r="M146" s="16">
        <v>6.8</v>
      </c>
      <c r="N146" s="15">
        <v>5.5</v>
      </c>
      <c r="O146" s="15" t="s">
        <v>303</v>
      </c>
    </row>
    <row r="147" spans="1:15" x14ac:dyDescent="0.25">
      <c r="A147" s="21" t="s">
        <v>211</v>
      </c>
      <c r="C147" s="11">
        <v>7932</v>
      </c>
      <c r="D147" s="11">
        <v>3990</v>
      </c>
      <c r="E147" s="11">
        <v>3942</v>
      </c>
      <c r="F147" s="12">
        <f t="shared" si="0"/>
        <v>0</v>
      </c>
      <c r="G147" s="13">
        <f t="shared" si="1"/>
        <v>0</v>
      </c>
      <c r="H147" s="14">
        <f t="shared" si="2"/>
        <v>0</v>
      </c>
      <c r="I147" s="11">
        <v>97.31</v>
      </c>
      <c r="J147" s="15" t="s">
        <v>303</v>
      </c>
      <c r="K147" s="15" t="s">
        <v>303</v>
      </c>
      <c r="L147" s="16">
        <v>6.5</v>
      </c>
      <c r="M147" s="16">
        <v>6.2</v>
      </c>
      <c r="N147" s="15">
        <v>5</v>
      </c>
      <c r="O147" s="15">
        <v>4.2</v>
      </c>
    </row>
    <row r="148" spans="1:15" x14ac:dyDescent="0.25">
      <c r="A148" s="21" t="s">
        <v>140</v>
      </c>
      <c r="C148" s="11">
        <v>14381</v>
      </c>
      <c r="D148" s="11">
        <v>7142</v>
      </c>
      <c r="E148" s="11">
        <v>7239</v>
      </c>
      <c r="F148" s="12">
        <f t="shared" si="0"/>
        <v>0</v>
      </c>
      <c r="G148" s="13">
        <f t="shared" si="1"/>
        <v>0</v>
      </c>
      <c r="H148" s="14">
        <f t="shared" si="2"/>
        <v>0</v>
      </c>
      <c r="I148" s="11">
        <v>97.01</v>
      </c>
      <c r="J148" s="15" t="s">
        <v>303</v>
      </c>
      <c r="K148" s="15">
        <v>3.1</v>
      </c>
      <c r="L148" s="16">
        <v>6.1</v>
      </c>
      <c r="M148" s="16">
        <v>6.2</v>
      </c>
      <c r="N148" s="15">
        <v>4.5</v>
      </c>
      <c r="O148" s="15">
        <v>4.9000000000000004</v>
      </c>
    </row>
    <row r="149" spans="1:15" x14ac:dyDescent="0.25">
      <c r="A149" s="21" t="s">
        <v>127</v>
      </c>
      <c r="C149" s="11">
        <v>11472</v>
      </c>
      <c r="D149" s="11">
        <v>5836</v>
      </c>
      <c r="E149" s="11">
        <v>5636</v>
      </c>
      <c r="F149" s="12">
        <f t="shared" si="0"/>
        <v>0</v>
      </c>
      <c r="G149" s="13">
        <f t="shared" si="1"/>
        <v>0</v>
      </c>
      <c r="H149" s="14">
        <f t="shared" si="2"/>
        <v>0</v>
      </c>
      <c r="I149" s="11">
        <v>91.95</v>
      </c>
      <c r="J149" s="15" t="s">
        <v>303</v>
      </c>
      <c r="K149" s="15" t="s">
        <v>303</v>
      </c>
      <c r="L149" s="16">
        <v>5.3</v>
      </c>
      <c r="M149" s="16">
        <v>6.6</v>
      </c>
      <c r="N149" s="15">
        <v>3.4</v>
      </c>
      <c r="O149" s="15">
        <v>4.2</v>
      </c>
    </row>
    <row r="150" spans="1:15" x14ac:dyDescent="0.25">
      <c r="A150" s="21" t="s">
        <v>251</v>
      </c>
      <c r="C150" s="11">
        <v>3330</v>
      </c>
      <c r="D150" s="11">
        <v>1712</v>
      </c>
      <c r="E150" s="11">
        <v>1618</v>
      </c>
      <c r="F150" s="12">
        <f t="shared" si="0"/>
        <v>0</v>
      </c>
      <c r="G150" s="13">
        <f t="shared" si="1"/>
        <v>0</v>
      </c>
      <c r="H150" s="14">
        <f t="shared" si="2"/>
        <v>0</v>
      </c>
      <c r="I150" s="11">
        <v>91.75</v>
      </c>
      <c r="J150" s="15" t="s">
        <v>303</v>
      </c>
      <c r="K150" s="15" t="s">
        <v>303</v>
      </c>
      <c r="L150" s="16">
        <v>6.8</v>
      </c>
      <c r="M150" s="16">
        <v>6.8</v>
      </c>
      <c r="N150" s="15">
        <v>4.9000000000000004</v>
      </c>
      <c r="O150" s="15">
        <v>5.2</v>
      </c>
    </row>
    <row r="151" spans="1:15" x14ac:dyDescent="0.25">
      <c r="A151" s="21" t="s">
        <v>131</v>
      </c>
      <c r="C151" s="11">
        <v>4549</v>
      </c>
      <c r="D151" s="11">
        <v>2299</v>
      </c>
      <c r="E151" s="11">
        <v>2250</v>
      </c>
      <c r="F151" s="12">
        <f t="shared" si="0"/>
        <v>0</v>
      </c>
      <c r="G151" s="13">
        <f t="shared" si="1"/>
        <v>0</v>
      </c>
      <c r="H151" s="14">
        <f t="shared" si="2"/>
        <v>0</v>
      </c>
      <c r="I151" s="11">
        <v>95.53</v>
      </c>
      <c r="J151" s="15">
        <v>4.5999999999999996</v>
      </c>
      <c r="K151" s="15">
        <v>4.8</v>
      </c>
      <c r="L151" s="16">
        <v>7.6</v>
      </c>
      <c r="M151" s="16">
        <v>7.4</v>
      </c>
      <c r="N151" s="15">
        <v>6.4</v>
      </c>
      <c r="O151" s="15">
        <v>6.2</v>
      </c>
    </row>
    <row r="152" spans="1:15" x14ac:dyDescent="0.25">
      <c r="A152" s="21" t="s">
        <v>218</v>
      </c>
      <c r="C152" s="11">
        <v>12873</v>
      </c>
      <c r="D152" s="11">
        <v>6416</v>
      </c>
      <c r="E152" s="11">
        <v>6457</v>
      </c>
      <c r="F152" s="12">
        <f t="shared" si="0"/>
        <v>0</v>
      </c>
      <c r="G152" s="13">
        <f t="shared" si="1"/>
        <v>0</v>
      </c>
      <c r="H152" s="14">
        <f t="shared" si="2"/>
        <v>0</v>
      </c>
      <c r="I152" s="11">
        <v>96.42</v>
      </c>
      <c r="J152" s="15" t="s">
        <v>303</v>
      </c>
      <c r="K152" s="15" t="s">
        <v>303</v>
      </c>
      <c r="L152" s="16">
        <v>5.6</v>
      </c>
      <c r="M152" s="16">
        <v>5.8</v>
      </c>
      <c r="N152" s="15">
        <v>4</v>
      </c>
      <c r="O152" s="15">
        <v>4.5</v>
      </c>
    </row>
    <row r="153" spans="1:15" x14ac:dyDescent="0.25">
      <c r="A153" s="21" t="s">
        <v>204</v>
      </c>
      <c r="C153" s="11">
        <v>11684</v>
      </c>
      <c r="D153" s="11">
        <v>5920</v>
      </c>
      <c r="E153" s="11">
        <v>5764</v>
      </c>
      <c r="F153" s="12">
        <f t="shared" si="0"/>
        <v>0</v>
      </c>
      <c r="G153" s="13">
        <f t="shared" si="1"/>
        <v>0</v>
      </c>
      <c r="H153" s="14">
        <f t="shared" si="2"/>
        <v>0</v>
      </c>
      <c r="I153" s="11">
        <v>96.92</v>
      </c>
      <c r="J153" s="15">
        <v>3.8</v>
      </c>
      <c r="K153" s="15">
        <v>3.7</v>
      </c>
      <c r="L153" s="16">
        <v>6.2</v>
      </c>
      <c r="M153" s="16">
        <v>6.1</v>
      </c>
      <c r="N153" s="15">
        <v>4.5</v>
      </c>
      <c r="O153" s="15">
        <v>4.8</v>
      </c>
    </row>
    <row r="154" spans="1:15" x14ac:dyDescent="0.25">
      <c r="A154" s="21" t="s">
        <v>167</v>
      </c>
      <c r="C154" s="11">
        <v>5794</v>
      </c>
      <c r="D154" s="11">
        <v>2835</v>
      </c>
      <c r="E154" s="11">
        <v>2959</v>
      </c>
      <c r="F154" s="12">
        <f t="shared" si="0"/>
        <v>0</v>
      </c>
      <c r="G154" s="13">
        <f t="shared" si="1"/>
        <v>0</v>
      </c>
      <c r="H154" s="14">
        <f t="shared" si="2"/>
        <v>0</v>
      </c>
      <c r="I154" s="11">
        <v>98.19</v>
      </c>
      <c r="J154" s="15">
        <v>5.4</v>
      </c>
      <c r="K154" s="15">
        <v>5.0999999999999996</v>
      </c>
      <c r="L154" s="16">
        <v>6.9</v>
      </c>
      <c r="M154" s="16">
        <v>7.6</v>
      </c>
      <c r="N154" s="15">
        <v>6</v>
      </c>
      <c r="O154" s="15">
        <v>6</v>
      </c>
    </row>
    <row r="155" spans="1:15" x14ac:dyDescent="0.25">
      <c r="A155" s="21" t="s">
        <v>267</v>
      </c>
      <c r="C155" s="11">
        <v>1778</v>
      </c>
      <c r="D155" s="11">
        <v>910</v>
      </c>
      <c r="E155" s="11">
        <v>868</v>
      </c>
      <c r="F155" s="12">
        <f t="shared" si="0"/>
        <v>0</v>
      </c>
      <c r="G155" s="13">
        <f t="shared" si="1"/>
        <v>0</v>
      </c>
      <c r="H155" s="14">
        <f t="shared" si="2"/>
        <v>0</v>
      </c>
      <c r="I155" s="11">
        <v>94.44</v>
      </c>
      <c r="J155" s="15" t="s">
        <v>303</v>
      </c>
      <c r="K155" s="15">
        <v>4.9000000000000004</v>
      </c>
      <c r="L155" s="16">
        <v>6.5</v>
      </c>
      <c r="M155" s="16">
        <v>6.2</v>
      </c>
      <c r="N155" s="15" t="s">
        <v>303</v>
      </c>
      <c r="O155" s="15" t="s">
        <v>303</v>
      </c>
    </row>
    <row r="156" spans="1:15" x14ac:dyDescent="0.25">
      <c r="A156" s="21" t="s">
        <v>98</v>
      </c>
      <c r="C156" s="11">
        <v>55286</v>
      </c>
      <c r="D156" s="11">
        <v>27444</v>
      </c>
      <c r="E156" s="11">
        <v>27842</v>
      </c>
      <c r="F156" s="12">
        <f t="shared" si="0"/>
        <v>0</v>
      </c>
      <c r="G156" s="13">
        <f t="shared" si="1"/>
        <v>0</v>
      </c>
      <c r="H156" s="14">
        <f t="shared" si="2"/>
        <v>0</v>
      </c>
      <c r="I156" s="11">
        <v>97.56</v>
      </c>
      <c r="J156" s="15">
        <v>3.7</v>
      </c>
      <c r="K156" s="15">
        <v>4.0999999999999996</v>
      </c>
      <c r="L156" s="16">
        <v>6.5</v>
      </c>
      <c r="M156" s="16">
        <v>6.6</v>
      </c>
      <c r="N156" s="15">
        <v>5.4</v>
      </c>
      <c r="O156" s="15">
        <v>5</v>
      </c>
    </row>
    <row r="157" spans="1:15" x14ac:dyDescent="0.25">
      <c r="A157" s="21" t="s">
        <v>152</v>
      </c>
      <c r="C157" s="11">
        <v>3214</v>
      </c>
      <c r="D157" s="11">
        <v>1617</v>
      </c>
      <c r="E157" s="11">
        <v>1597</v>
      </c>
      <c r="F157" s="12">
        <f t="shared" si="0"/>
        <v>0</v>
      </c>
      <c r="G157" s="13">
        <f t="shared" si="1"/>
        <v>0</v>
      </c>
      <c r="H157" s="14">
        <f t="shared" si="2"/>
        <v>0</v>
      </c>
      <c r="I157" s="11">
        <v>94.47</v>
      </c>
      <c r="J157" s="15">
        <v>4.8</v>
      </c>
      <c r="K157" s="15">
        <v>4.5</v>
      </c>
      <c r="L157" s="16">
        <v>6.1</v>
      </c>
      <c r="M157" s="16" t="s">
        <v>303</v>
      </c>
      <c r="N157" s="15">
        <v>5.4</v>
      </c>
      <c r="O157" s="15">
        <v>5.0999999999999996</v>
      </c>
    </row>
    <row r="158" spans="1:15" x14ac:dyDescent="0.25">
      <c r="A158" s="21" t="s">
        <v>244</v>
      </c>
      <c r="C158" s="11">
        <v>7425</v>
      </c>
      <c r="D158" s="11">
        <v>3799</v>
      </c>
      <c r="E158" s="11">
        <v>3626</v>
      </c>
      <c r="F158" s="12">
        <f t="shared" si="0"/>
        <v>0</v>
      </c>
      <c r="G158" s="13">
        <f t="shared" si="1"/>
        <v>0</v>
      </c>
      <c r="H158" s="14">
        <f t="shared" si="2"/>
        <v>0</v>
      </c>
      <c r="I158" s="11">
        <v>95.06</v>
      </c>
      <c r="J158" s="15" t="s">
        <v>303</v>
      </c>
      <c r="K158" s="15">
        <v>3.7</v>
      </c>
      <c r="L158" s="16">
        <v>6.3</v>
      </c>
      <c r="M158" s="16">
        <v>6.2</v>
      </c>
      <c r="N158" s="15">
        <v>4.8</v>
      </c>
      <c r="O158" s="15">
        <v>5.0999999999999996</v>
      </c>
    </row>
    <row r="159" spans="1:15" x14ac:dyDescent="0.25">
      <c r="A159" s="21" t="s">
        <v>230</v>
      </c>
      <c r="C159" s="11">
        <v>7815</v>
      </c>
      <c r="D159" s="11">
        <v>3916</v>
      </c>
      <c r="E159" s="11">
        <v>3899</v>
      </c>
      <c r="F159" s="12">
        <f t="shared" si="0"/>
        <v>0</v>
      </c>
      <c r="G159" s="13">
        <f t="shared" si="1"/>
        <v>0</v>
      </c>
      <c r="H159" s="14">
        <f t="shared" si="2"/>
        <v>0</v>
      </c>
      <c r="I159" s="11">
        <v>96.69</v>
      </c>
      <c r="J159" s="15" t="s">
        <v>303</v>
      </c>
      <c r="K159" s="15" t="s">
        <v>303</v>
      </c>
      <c r="L159" s="16">
        <v>5.9</v>
      </c>
      <c r="M159" s="16">
        <v>5.7</v>
      </c>
      <c r="N159" s="15">
        <v>5.2</v>
      </c>
      <c r="O159" s="15">
        <v>4.5999999999999996</v>
      </c>
    </row>
    <row r="160" spans="1:15" x14ac:dyDescent="0.25">
      <c r="A160" s="21" t="s">
        <v>65</v>
      </c>
      <c r="C160" s="11">
        <v>28251</v>
      </c>
      <c r="D160" s="11">
        <v>14036</v>
      </c>
      <c r="E160" s="11">
        <v>14215</v>
      </c>
      <c r="F160" s="12">
        <f t="shared" si="0"/>
        <v>0</v>
      </c>
      <c r="G160" s="13">
        <f t="shared" si="1"/>
        <v>0</v>
      </c>
      <c r="H160" s="14">
        <f t="shared" si="2"/>
        <v>0</v>
      </c>
      <c r="I160" s="11">
        <v>97.14</v>
      </c>
      <c r="J160" s="15">
        <v>4.0999999999999996</v>
      </c>
      <c r="K160" s="15">
        <v>4.5</v>
      </c>
      <c r="L160" s="16">
        <v>6.5</v>
      </c>
      <c r="M160" s="16">
        <v>6.6</v>
      </c>
      <c r="N160" s="15">
        <v>4.9000000000000004</v>
      </c>
      <c r="O160" s="15">
        <v>5.0999999999999996</v>
      </c>
    </row>
    <row r="161" spans="1:15" x14ac:dyDescent="0.25">
      <c r="A161" s="21" t="s">
        <v>291</v>
      </c>
      <c r="C161" s="11">
        <v>2184</v>
      </c>
      <c r="D161" s="11">
        <v>1115</v>
      </c>
      <c r="E161" s="11">
        <v>1069</v>
      </c>
      <c r="F161" s="12">
        <f t="shared" si="0"/>
        <v>0</v>
      </c>
      <c r="G161" s="13">
        <f t="shared" si="1"/>
        <v>0</v>
      </c>
      <c r="H161" s="14">
        <f t="shared" si="2"/>
        <v>0</v>
      </c>
      <c r="I161" s="11">
        <v>93.08</v>
      </c>
      <c r="J161" s="15" t="s">
        <v>303</v>
      </c>
      <c r="K161" s="15">
        <v>4.8</v>
      </c>
      <c r="L161" s="16">
        <v>6.7</v>
      </c>
      <c r="M161" s="16">
        <v>6.3</v>
      </c>
      <c r="N161" s="15" t="s">
        <v>303</v>
      </c>
      <c r="O161" s="15">
        <v>4.9000000000000004</v>
      </c>
    </row>
    <row r="162" spans="1:15" x14ac:dyDescent="0.25">
      <c r="A162" s="21" t="s">
        <v>219</v>
      </c>
      <c r="C162" s="11">
        <v>17162</v>
      </c>
      <c r="D162" s="11">
        <v>8725</v>
      </c>
      <c r="E162" s="11">
        <v>8437</v>
      </c>
      <c r="F162" s="12">
        <f t="shared" si="0"/>
        <v>0</v>
      </c>
      <c r="G162" s="13">
        <f t="shared" si="1"/>
        <v>0</v>
      </c>
      <c r="H162" s="14">
        <f t="shared" si="2"/>
        <v>0</v>
      </c>
      <c r="I162" s="11">
        <v>97.29</v>
      </c>
      <c r="J162" s="15" t="s">
        <v>303</v>
      </c>
      <c r="K162" s="15">
        <v>4.4000000000000004</v>
      </c>
      <c r="L162" s="16">
        <v>6.7</v>
      </c>
      <c r="M162" s="16">
        <v>6.5</v>
      </c>
      <c r="N162" s="15">
        <v>5.4</v>
      </c>
      <c r="O162" s="15">
        <v>5.7</v>
      </c>
    </row>
    <row r="163" spans="1:15" x14ac:dyDescent="0.25">
      <c r="A163" s="21" t="s">
        <v>295</v>
      </c>
      <c r="C163" s="11">
        <v>2761</v>
      </c>
      <c r="D163" s="11">
        <v>1437</v>
      </c>
      <c r="E163" s="11">
        <v>1324</v>
      </c>
      <c r="F163" s="12">
        <f t="shared" si="0"/>
        <v>0</v>
      </c>
      <c r="G163" s="13">
        <f t="shared" si="1"/>
        <v>0</v>
      </c>
      <c r="H163" s="14">
        <f t="shared" si="2"/>
        <v>0</v>
      </c>
      <c r="I163" s="11">
        <v>92.23</v>
      </c>
      <c r="J163" s="15" t="s">
        <v>303</v>
      </c>
      <c r="K163" s="15" t="s">
        <v>303</v>
      </c>
      <c r="L163" s="16">
        <v>5.7</v>
      </c>
      <c r="M163" s="16">
        <v>5.8</v>
      </c>
      <c r="N163" s="15" t="s">
        <v>303</v>
      </c>
      <c r="O163" s="15">
        <v>4.0999999999999996</v>
      </c>
    </row>
    <row r="164" spans="1:15" x14ac:dyDescent="0.25">
      <c r="A164" s="21" t="s">
        <v>147</v>
      </c>
      <c r="C164" s="11">
        <v>7006</v>
      </c>
      <c r="D164" s="11">
        <v>3482</v>
      </c>
      <c r="E164" s="11">
        <v>3524</v>
      </c>
      <c r="F164" s="12">
        <f t="shared" si="0"/>
        <v>0</v>
      </c>
      <c r="G164" s="13">
        <f t="shared" si="1"/>
        <v>0</v>
      </c>
      <c r="H164" s="14">
        <f t="shared" si="2"/>
        <v>0</v>
      </c>
      <c r="I164" s="11">
        <v>95.98</v>
      </c>
      <c r="J164" s="15" t="s">
        <v>303</v>
      </c>
      <c r="K164" s="15" t="s">
        <v>303</v>
      </c>
      <c r="L164" s="16">
        <v>6.5</v>
      </c>
      <c r="M164" s="16">
        <v>6.1</v>
      </c>
      <c r="N164" s="15">
        <v>5.9</v>
      </c>
      <c r="O164" s="15">
        <v>5.3</v>
      </c>
    </row>
    <row r="165" spans="1:15" x14ac:dyDescent="0.25">
      <c r="A165" s="21" t="s">
        <v>66</v>
      </c>
      <c r="C165" s="11">
        <v>2511</v>
      </c>
      <c r="D165" s="11">
        <v>1272</v>
      </c>
      <c r="E165" s="11">
        <v>1239</v>
      </c>
      <c r="F165" s="12">
        <f t="shared" si="0"/>
        <v>0</v>
      </c>
      <c r="G165" s="13">
        <f t="shared" si="1"/>
        <v>0</v>
      </c>
      <c r="H165" s="14">
        <f t="shared" si="2"/>
        <v>0</v>
      </c>
      <c r="I165" s="11">
        <v>94.41</v>
      </c>
      <c r="J165" s="15" t="s">
        <v>303</v>
      </c>
      <c r="K165" s="15" t="s">
        <v>303</v>
      </c>
      <c r="L165" s="16" t="s">
        <v>303</v>
      </c>
      <c r="M165" s="16" t="s">
        <v>303</v>
      </c>
      <c r="N165" s="15">
        <v>4.8</v>
      </c>
      <c r="O165" s="15">
        <v>4.5</v>
      </c>
    </row>
    <row r="166" spans="1:15" x14ac:dyDescent="0.25">
      <c r="A166" s="21" t="s">
        <v>254</v>
      </c>
      <c r="C166" s="11">
        <v>4080</v>
      </c>
      <c r="D166" s="11">
        <v>2050</v>
      </c>
      <c r="E166" s="11">
        <v>2030</v>
      </c>
      <c r="F166" s="12">
        <f t="shared" si="0"/>
        <v>0</v>
      </c>
      <c r="G166" s="13">
        <f t="shared" si="1"/>
        <v>0</v>
      </c>
      <c r="H166" s="14">
        <f t="shared" si="2"/>
        <v>0</v>
      </c>
      <c r="I166" s="11">
        <v>95.56</v>
      </c>
      <c r="J166" s="15">
        <v>4.0999999999999996</v>
      </c>
      <c r="K166" s="15">
        <v>4.8</v>
      </c>
      <c r="L166" s="16">
        <v>6.8</v>
      </c>
      <c r="M166" s="16">
        <v>6.4</v>
      </c>
      <c r="N166" s="15" t="s">
        <v>303</v>
      </c>
      <c r="O166" s="15">
        <v>4.7</v>
      </c>
    </row>
    <row r="167" spans="1:15" x14ac:dyDescent="0.25">
      <c r="A167" s="21" t="s">
        <v>62</v>
      </c>
      <c r="C167" s="11">
        <v>10066</v>
      </c>
      <c r="D167" s="11">
        <v>5057</v>
      </c>
      <c r="E167" s="11">
        <v>5009</v>
      </c>
      <c r="F167" s="12">
        <f t="shared" si="0"/>
        <v>0</v>
      </c>
      <c r="G167" s="13">
        <f t="shared" si="1"/>
        <v>0</v>
      </c>
      <c r="H167" s="14">
        <f t="shared" si="2"/>
        <v>0</v>
      </c>
      <c r="I167" s="11">
        <v>96.61</v>
      </c>
      <c r="J167" s="15" t="s">
        <v>303</v>
      </c>
      <c r="K167" s="15" t="s">
        <v>303</v>
      </c>
      <c r="L167" s="16">
        <v>7.4</v>
      </c>
      <c r="M167" s="16">
        <v>6.7</v>
      </c>
      <c r="N167" s="15">
        <v>5.7</v>
      </c>
      <c r="O167" s="15">
        <v>5.0999999999999996</v>
      </c>
    </row>
    <row r="168" spans="1:15" x14ac:dyDescent="0.25">
      <c r="A168" s="21" t="s">
        <v>82</v>
      </c>
      <c r="C168" s="11">
        <v>9117</v>
      </c>
      <c r="D168" s="11">
        <v>4585</v>
      </c>
      <c r="E168" s="11">
        <v>4532</v>
      </c>
      <c r="F168" s="12">
        <f t="shared" si="0"/>
        <v>0</v>
      </c>
      <c r="G168" s="13">
        <f t="shared" si="1"/>
        <v>0</v>
      </c>
      <c r="H168" s="14">
        <f t="shared" si="2"/>
        <v>0</v>
      </c>
      <c r="I168" s="11">
        <v>91.9</v>
      </c>
      <c r="J168" s="15">
        <v>3.3</v>
      </c>
      <c r="K168" s="15">
        <v>3.3</v>
      </c>
      <c r="L168" s="16">
        <v>6</v>
      </c>
      <c r="M168" s="16">
        <v>5.9</v>
      </c>
      <c r="N168" s="15">
        <v>4.5999999999999996</v>
      </c>
      <c r="O168" s="15">
        <v>4.7</v>
      </c>
    </row>
    <row r="169" spans="1:15" x14ac:dyDescent="0.25">
      <c r="A169" s="21" t="s">
        <v>139</v>
      </c>
      <c r="C169" s="11">
        <v>7736</v>
      </c>
      <c r="D169" s="11">
        <v>3951</v>
      </c>
      <c r="E169" s="11">
        <v>3785</v>
      </c>
      <c r="F169" s="12">
        <f t="shared" si="0"/>
        <v>0</v>
      </c>
      <c r="G169" s="13">
        <f t="shared" si="1"/>
        <v>0</v>
      </c>
      <c r="H169" s="14">
        <f t="shared" si="2"/>
        <v>0</v>
      </c>
      <c r="I169" s="11">
        <v>95.35</v>
      </c>
      <c r="J169" s="15">
        <v>3.7</v>
      </c>
      <c r="K169" s="15">
        <v>3.6</v>
      </c>
      <c r="L169" s="16">
        <v>5.8</v>
      </c>
      <c r="M169" s="16">
        <v>5.9</v>
      </c>
      <c r="N169" s="15">
        <v>4.3</v>
      </c>
      <c r="O169" s="15">
        <v>4.7</v>
      </c>
    </row>
    <row r="170" spans="1:15" x14ac:dyDescent="0.25">
      <c r="A170" s="21" t="s">
        <v>72</v>
      </c>
      <c r="C170" s="11">
        <v>18537</v>
      </c>
      <c r="D170" s="11">
        <v>9168</v>
      </c>
      <c r="E170" s="11">
        <v>9369</v>
      </c>
      <c r="F170" s="12">
        <f t="shared" si="0"/>
        <v>0</v>
      </c>
      <c r="G170" s="13">
        <f t="shared" si="1"/>
        <v>0</v>
      </c>
      <c r="H170" s="14">
        <f t="shared" si="2"/>
        <v>0</v>
      </c>
      <c r="I170" s="11">
        <v>96.43</v>
      </c>
      <c r="J170" s="15" t="s">
        <v>303</v>
      </c>
      <c r="K170" s="15">
        <v>3.7</v>
      </c>
      <c r="L170" s="16">
        <v>6.5</v>
      </c>
      <c r="M170" s="16">
        <v>6.4</v>
      </c>
      <c r="N170" s="15">
        <v>4.7</v>
      </c>
      <c r="O170" s="15">
        <v>5.0999999999999996</v>
      </c>
    </row>
    <row r="171" spans="1:15" x14ac:dyDescent="0.25">
      <c r="A171" s="21" t="s">
        <v>287</v>
      </c>
      <c r="C171" s="11">
        <v>3010</v>
      </c>
      <c r="D171" s="11">
        <v>1525</v>
      </c>
      <c r="E171" s="11">
        <v>1485</v>
      </c>
      <c r="F171" s="12">
        <f t="shared" si="0"/>
        <v>0</v>
      </c>
      <c r="G171" s="13">
        <f t="shared" si="1"/>
        <v>0</v>
      </c>
      <c r="H171" s="14">
        <f t="shared" si="2"/>
        <v>0</v>
      </c>
      <c r="I171" s="11">
        <v>94.22</v>
      </c>
      <c r="J171" s="15" t="s">
        <v>303</v>
      </c>
      <c r="K171" s="15" t="s">
        <v>303</v>
      </c>
      <c r="L171" s="16">
        <v>5.5</v>
      </c>
      <c r="M171" s="16" t="s">
        <v>303</v>
      </c>
      <c r="N171" s="15" t="s">
        <v>303</v>
      </c>
      <c r="O171" s="15">
        <v>4.3</v>
      </c>
    </row>
    <row r="172" spans="1:15" x14ac:dyDescent="0.25">
      <c r="A172" s="21" t="s">
        <v>46</v>
      </c>
      <c r="C172" s="11">
        <v>86401</v>
      </c>
      <c r="D172" s="11">
        <v>42539</v>
      </c>
      <c r="E172" s="11">
        <v>43862</v>
      </c>
      <c r="F172" s="12">
        <f t="shared" si="0"/>
        <v>0</v>
      </c>
      <c r="G172" s="13">
        <f t="shared" si="1"/>
        <v>0</v>
      </c>
      <c r="H172" s="14">
        <f t="shared" si="2"/>
        <v>0</v>
      </c>
      <c r="I172" s="11">
        <v>97.31</v>
      </c>
      <c r="J172" s="15" t="s">
        <v>303</v>
      </c>
      <c r="K172" s="15">
        <v>3.6</v>
      </c>
      <c r="L172" s="16">
        <v>6</v>
      </c>
      <c r="M172" s="16">
        <v>5.8</v>
      </c>
      <c r="N172" s="15">
        <v>5.0999999999999996</v>
      </c>
      <c r="O172" s="15">
        <v>4.5999999999999996</v>
      </c>
    </row>
    <row r="173" spans="1:15" x14ac:dyDescent="0.25">
      <c r="A173" s="21" t="s">
        <v>165</v>
      </c>
      <c r="C173" s="11">
        <v>5155</v>
      </c>
      <c r="D173" s="11">
        <v>2619</v>
      </c>
      <c r="E173" s="11">
        <v>2536</v>
      </c>
      <c r="F173" s="12">
        <f t="shared" si="0"/>
        <v>0</v>
      </c>
      <c r="G173" s="13">
        <f t="shared" si="1"/>
        <v>0</v>
      </c>
      <c r="H173" s="14">
        <f t="shared" si="2"/>
        <v>0</v>
      </c>
      <c r="I173" s="11">
        <v>95.6</v>
      </c>
      <c r="J173" s="15" t="s">
        <v>303</v>
      </c>
      <c r="K173" s="15">
        <v>3.8</v>
      </c>
      <c r="L173" s="16">
        <v>6.6</v>
      </c>
      <c r="M173" s="16">
        <v>6.9</v>
      </c>
      <c r="N173" s="15" t="s">
        <v>303</v>
      </c>
      <c r="O173" s="15">
        <v>4.4000000000000004</v>
      </c>
    </row>
    <row r="174" spans="1:15" x14ac:dyDescent="0.25">
      <c r="A174" s="21" t="s">
        <v>149</v>
      </c>
      <c r="C174" s="11">
        <v>4536</v>
      </c>
      <c r="D174" s="11">
        <v>2373</v>
      </c>
      <c r="E174" s="11">
        <v>2163</v>
      </c>
      <c r="F174" s="12">
        <f t="shared" si="0"/>
        <v>0</v>
      </c>
      <c r="G174" s="13">
        <f t="shared" si="1"/>
        <v>0</v>
      </c>
      <c r="H174" s="14">
        <f t="shared" si="2"/>
        <v>0</v>
      </c>
      <c r="I174" s="11">
        <v>95.56</v>
      </c>
      <c r="J174" s="15">
        <v>4</v>
      </c>
      <c r="K174" s="15">
        <v>3.8</v>
      </c>
      <c r="L174" s="16">
        <v>5.7</v>
      </c>
      <c r="M174" s="16">
        <v>6.4</v>
      </c>
      <c r="N174" s="15" t="s">
        <v>303</v>
      </c>
      <c r="O174" s="15">
        <v>4.7</v>
      </c>
    </row>
    <row r="175" spans="1:15" x14ac:dyDescent="0.25">
      <c r="A175" s="21" t="s">
        <v>122</v>
      </c>
      <c r="C175" s="11">
        <v>13727</v>
      </c>
      <c r="D175" s="11">
        <v>6848</v>
      </c>
      <c r="E175" s="11">
        <v>6879</v>
      </c>
      <c r="F175" s="12">
        <f t="shared" si="0"/>
        <v>0</v>
      </c>
      <c r="G175" s="13">
        <f t="shared" si="1"/>
        <v>0</v>
      </c>
      <c r="H175" s="14">
        <f t="shared" si="2"/>
        <v>0</v>
      </c>
      <c r="I175" s="11">
        <v>96.83</v>
      </c>
      <c r="J175" s="15">
        <v>4.3</v>
      </c>
      <c r="K175" s="15">
        <v>3.9</v>
      </c>
      <c r="L175" s="16">
        <v>6.2</v>
      </c>
      <c r="M175" s="16">
        <v>6.4</v>
      </c>
      <c r="N175" s="15">
        <v>5.0999999999999996</v>
      </c>
      <c r="O175" s="15">
        <v>4.9000000000000004</v>
      </c>
    </row>
    <row r="176" spans="1:15" x14ac:dyDescent="0.25">
      <c r="A176" s="21" t="s">
        <v>184</v>
      </c>
      <c r="C176" s="11">
        <v>13664</v>
      </c>
      <c r="D176" s="11">
        <v>6761</v>
      </c>
      <c r="E176" s="11">
        <v>6903</v>
      </c>
      <c r="F176" s="12">
        <f t="shared" si="0"/>
        <v>0</v>
      </c>
      <c r="G176" s="13">
        <f t="shared" si="1"/>
        <v>0</v>
      </c>
      <c r="H176" s="14">
        <f t="shared" si="2"/>
        <v>0</v>
      </c>
      <c r="I176" s="11">
        <v>97.39</v>
      </c>
      <c r="J176" s="15">
        <v>4</v>
      </c>
      <c r="K176" s="15">
        <v>4</v>
      </c>
      <c r="L176" s="16">
        <v>6.7</v>
      </c>
      <c r="M176" s="16">
        <v>6.9</v>
      </c>
      <c r="N176" s="15">
        <v>5.4</v>
      </c>
      <c r="O176" s="15">
        <v>5.2</v>
      </c>
    </row>
    <row r="177" spans="1:15" x14ac:dyDescent="0.25">
      <c r="A177" s="21" t="s">
        <v>282</v>
      </c>
      <c r="C177" s="11">
        <v>2643</v>
      </c>
      <c r="D177" s="11">
        <v>1353</v>
      </c>
      <c r="E177" s="11">
        <v>1290</v>
      </c>
      <c r="F177" s="12">
        <f t="shared" si="0"/>
        <v>0</v>
      </c>
      <c r="G177" s="13">
        <f t="shared" si="1"/>
        <v>0</v>
      </c>
      <c r="H177" s="14">
        <f t="shared" si="2"/>
        <v>0</v>
      </c>
      <c r="I177" s="11">
        <v>94.28</v>
      </c>
      <c r="J177" s="15">
        <v>4.8</v>
      </c>
      <c r="K177" s="15">
        <v>4.3</v>
      </c>
      <c r="L177" s="16">
        <v>6</v>
      </c>
      <c r="M177" s="16">
        <v>6.4</v>
      </c>
      <c r="N177" s="15">
        <v>4.5</v>
      </c>
      <c r="O177" s="15">
        <v>4.5999999999999996</v>
      </c>
    </row>
    <row r="178" spans="1:15" x14ac:dyDescent="0.25">
      <c r="A178" s="21" t="s">
        <v>106</v>
      </c>
      <c r="C178" s="11">
        <v>23661</v>
      </c>
      <c r="D178" s="11">
        <v>11716</v>
      </c>
      <c r="E178" s="11">
        <v>11945</v>
      </c>
      <c r="F178" s="12">
        <f t="shared" si="0"/>
        <v>0</v>
      </c>
      <c r="G178" s="13">
        <f t="shared" si="1"/>
        <v>0</v>
      </c>
      <c r="H178" s="14">
        <f t="shared" si="2"/>
        <v>0</v>
      </c>
      <c r="I178" s="11">
        <v>97.27</v>
      </c>
      <c r="J178" s="15" t="s">
        <v>303</v>
      </c>
      <c r="K178" s="15" t="s">
        <v>303</v>
      </c>
      <c r="L178" s="16">
        <v>6</v>
      </c>
      <c r="M178" s="16">
        <v>6.2</v>
      </c>
      <c r="N178" s="15">
        <v>4.9000000000000004</v>
      </c>
      <c r="O178" s="15">
        <v>4.5</v>
      </c>
    </row>
    <row r="179" spans="1:15" x14ac:dyDescent="0.25">
      <c r="A179" s="21" t="s">
        <v>156</v>
      </c>
      <c r="C179" s="11">
        <v>17312</v>
      </c>
      <c r="D179" s="11">
        <v>8586</v>
      </c>
      <c r="E179" s="11">
        <v>8726</v>
      </c>
      <c r="F179" s="12">
        <f t="shared" si="0"/>
        <v>0</v>
      </c>
      <c r="G179" s="13">
        <f t="shared" si="1"/>
        <v>0</v>
      </c>
      <c r="H179" s="14">
        <f t="shared" si="2"/>
        <v>0</v>
      </c>
      <c r="I179" s="11">
        <v>95.68</v>
      </c>
      <c r="J179" s="15">
        <v>3.9</v>
      </c>
      <c r="K179" s="15">
        <v>3.7</v>
      </c>
      <c r="L179" s="16">
        <v>6.1</v>
      </c>
      <c r="M179" s="16">
        <v>6.3</v>
      </c>
      <c r="N179" s="15">
        <v>4.8</v>
      </c>
      <c r="O179" s="15">
        <v>4.7</v>
      </c>
    </row>
    <row r="180" spans="1:15" x14ac:dyDescent="0.25">
      <c r="A180" s="21" t="s">
        <v>234</v>
      </c>
      <c r="C180" s="11">
        <v>7032</v>
      </c>
      <c r="D180" s="11">
        <v>3527</v>
      </c>
      <c r="E180" s="11">
        <v>3505</v>
      </c>
      <c r="F180" s="12">
        <f t="shared" si="0"/>
        <v>0</v>
      </c>
      <c r="G180" s="13">
        <f t="shared" si="1"/>
        <v>0</v>
      </c>
      <c r="H180" s="14">
        <f t="shared" si="2"/>
        <v>0</v>
      </c>
      <c r="I180" s="11">
        <v>96.61</v>
      </c>
      <c r="J180" s="15">
        <v>3.9</v>
      </c>
      <c r="K180" s="15">
        <v>4.4000000000000004</v>
      </c>
      <c r="L180" s="16">
        <v>6.3</v>
      </c>
      <c r="M180" s="16" t="s">
        <v>303</v>
      </c>
      <c r="N180" s="15" t="s">
        <v>303</v>
      </c>
      <c r="O180" s="15">
        <v>5.0999999999999996</v>
      </c>
    </row>
    <row r="181" spans="1:15" x14ac:dyDescent="0.25">
      <c r="A181" s="21" t="s">
        <v>160</v>
      </c>
      <c r="C181" s="11">
        <v>2181</v>
      </c>
      <c r="D181" s="11">
        <v>1108</v>
      </c>
      <c r="E181" s="11">
        <v>1073</v>
      </c>
      <c r="F181" s="12">
        <f t="shared" si="0"/>
        <v>0</v>
      </c>
      <c r="G181" s="13">
        <f t="shared" si="1"/>
        <v>0</v>
      </c>
      <c r="H181" s="14">
        <f t="shared" si="2"/>
        <v>0</v>
      </c>
      <c r="I181" s="11">
        <v>92.72</v>
      </c>
      <c r="J181" s="15" t="s">
        <v>303</v>
      </c>
      <c r="K181" s="15" t="s">
        <v>303</v>
      </c>
      <c r="L181" s="16">
        <v>5.4</v>
      </c>
      <c r="M181" s="16">
        <v>6.9</v>
      </c>
      <c r="N181" s="15">
        <v>4.7</v>
      </c>
      <c r="O181" s="15">
        <v>3.8</v>
      </c>
    </row>
    <row r="182" spans="1:15" x14ac:dyDescent="0.25">
      <c r="A182" s="21" t="s">
        <v>240</v>
      </c>
      <c r="C182" s="11">
        <v>1927</v>
      </c>
      <c r="D182" s="11">
        <v>993</v>
      </c>
      <c r="E182" s="11">
        <v>934</v>
      </c>
      <c r="F182" s="12">
        <f t="shared" si="0"/>
        <v>0</v>
      </c>
      <c r="G182" s="13">
        <f t="shared" si="1"/>
        <v>0</v>
      </c>
      <c r="H182" s="14">
        <f t="shared" si="2"/>
        <v>0</v>
      </c>
      <c r="I182" s="11">
        <v>92.33</v>
      </c>
      <c r="J182" s="15" t="s">
        <v>303</v>
      </c>
      <c r="K182" s="15">
        <v>5</v>
      </c>
      <c r="L182" s="16">
        <v>7.5</v>
      </c>
      <c r="M182" s="16">
        <v>6.3</v>
      </c>
      <c r="N182" s="15">
        <v>4.8</v>
      </c>
      <c r="O182" s="15">
        <v>5.4</v>
      </c>
    </row>
    <row r="183" spans="1:15" x14ac:dyDescent="0.25">
      <c r="A183" s="21" t="s">
        <v>210</v>
      </c>
      <c r="C183" s="11">
        <v>2215</v>
      </c>
      <c r="D183" s="11">
        <v>1182</v>
      </c>
      <c r="E183" s="11">
        <v>1033</v>
      </c>
      <c r="F183" s="12">
        <f t="shared" si="0"/>
        <v>0</v>
      </c>
      <c r="G183" s="13">
        <f t="shared" si="1"/>
        <v>0</v>
      </c>
      <c r="H183" s="14">
        <f t="shared" si="2"/>
        <v>0</v>
      </c>
      <c r="I183" s="11">
        <v>91.26</v>
      </c>
      <c r="J183" s="15" t="s">
        <v>303</v>
      </c>
      <c r="K183" s="15" t="s">
        <v>303</v>
      </c>
      <c r="L183" s="16">
        <v>5</v>
      </c>
      <c r="M183" s="16">
        <v>5.2</v>
      </c>
      <c r="N183" s="15" t="s">
        <v>303</v>
      </c>
      <c r="O183" s="15" t="s">
        <v>303</v>
      </c>
    </row>
    <row r="184" spans="1:15" x14ac:dyDescent="0.25">
      <c r="A184" s="21" t="s">
        <v>39</v>
      </c>
      <c r="C184" s="11">
        <v>222598</v>
      </c>
      <c r="D184" s="11">
        <v>109083</v>
      </c>
      <c r="E184" s="11">
        <v>113515</v>
      </c>
      <c r="F184" s="12">
        <f t="shared" si="0"/>
        <v>0</v>
      </c>
      <c r="G184" s="13">
        <f t="shared" si="1"/>
        <v>0</v>
      </c>
      <c r="H184" s="14">
        <f t="shared" si="2"/>
        <v>0</v>
      </c>
      <c r="I184" s="11">
        <v>97.74</v>
      </c>
      <c r="J184" s="15" t="s">
        <v>303</v>
      </c>
      <c r="K184" s="15">
        <v>3.6</v>
      </c>
      <c r="L184" s="16">
        <v>5.9</v>
      </c>
      <c r="M184" s="16">
        <v>5.4</v>
      </c>
      <c r="N184" s="15">
        <v>4.7</v>
      </c>
      <c r="O184" s="15">
        <v>4.3</v>
      </c>
    </row>
    <row r="185" spans="1:15" x14ac:dyDescent="0.25">
      <c r="A185" s="21" t="s">
        <v>198</v>
      </c>
      <c r="C185" s="11">
        <v>7605</v>
      </c>
      <c r="D185" s="11">
        <v>3887</v>
      </c>
      <c r="E185" s="11">
        <v>3718</v>
      </c>
      <c r="F185" s="12">
        <f t="shared" si="0"/>
        <v>0</v>
      </c>
      <c r="G185" s="13">
        <f t="shared" si="1"/>
        <v>0</v>
      </c>
      <c r="H185" s="14">
        <f t="shared" si="2"/>
        <v>0</v>
      </c>
      <c r="I185" s="11">
        <v>92.3</v>
      </c>
      <c r="J185" s="15" t="s">
        <v>303</v>
      </c>
      <c r="K185" s="15" t="s">
        <v>303</v>
      </c>
      <c r="L185" s="16">
        <v>6.1</v>
      </c>
      <c r="M185" s="16">
        <v>7.1</v>
      </c>
      <c r="N185" s="15" t="s">
        <v>303</v>
      </c>
      <c r="O185" s="15" t="s">
        <v>303</v>
      </c>
    </row>
    <row r="186" spans="1:15" x14ac:dyDescent="0.25">
      <c r="A186" s="21" t="s">
        <v>201</v>
      </c>
      <c r="C186" s="11">
        <v>2561</v>
      </c>
      <c r="D186" s="11">
        <v>1354</v>
      </c>
      <c r="E186" s="11">
        <v>1207</v>
      </c>
      <c r="F186" s="12">
        <f t="shared" si="0"/>
        <v>0</v>
      </c>
      <c r="G186" s="13">
        <f t="shared" si="1"/>
        <v>0</v>
      </c>
      <c r="H186" s="14">
        <f t="shared" si="2"/>
        <v>0</v>
      </c>
      <c r="I186" s="11">
        <v>93.1</v>
      </c>
      <c r="J186" s="15" t="s">
        <v>303</v>
      </c>
      <c r="K186" s="15" t="s">
        <v>303</v>
      </c>
      <c r="L186" s="16">
        <v>6.3</v>
      </c>
      <c r="M186" s="16">
        <v>7.2</v>
      </c>
      <c r="N186" s="15" t="s">
        <v>303</v>
      </c>
      <c r="O186" s="15">
        <v>4.7</v>
      </c>
    </row>
    <row r="187" spans="1:15" x14ac:dyDescent="0.25">
      <c r="A187" s="21" t="s">
        <v>116</v>
      </c>
      <c r="C187" s="11">
        <v>15626</v>
      </c>
      <c r="D187" s="11">
        <v>7772</v>
      </c>
      <c r="E187" s="11">
        <v>7854</v>
      </c>
      <c r="F187" s="12">
        <f t="shared" si="0"/>
        <v>0</v>
      </c>
      <c r="G187" s="13">
        <f t="shared" si="1"/>
        <v>0</v>
      </c>
      <c r="H187" s="14">
        <f t="shared" si="2"/>
        <v>0</v>
      </c>
      <c r="I187" s="11">
        <v>95.75</v>
      </c>
      <c r="J187" s="15">
        <v>4.2</v>
      </c>
      <c r="K187" s="15">
        <v>4.3</v>
      </c>
      <c r="L187" s="16">
        <v>6</v>
      </c>
      <c r="M187" s="16">
        <v>6</v>
      </c>
      <c r="N187" s="15">
        <v>5.3</v>
      </c>
      <c r="O187" s="15">
        <v>4.5999999999999996</v>
      </c>
    </row>
    <row r="188" spans="1:15" x14ac:dyDescent="0.25">
      <c r="A188" s="21" t="s">
        <v>61</v>
      </c>
      <c r="C188" s="11">
        <v>19150</v>
      </c>
      <c r="D188" s="11">
        <v>9713</v>
      </c>
      <c r="E188" s="11">
        <v>9437</v>
      </c>
      <c r="F188" s="12">
        <f t="shared" si="0"/>
        <v>0</v>
      </c>
      <c r="G188" s="13">
        <f t="shared" si="1"/>
        <v>0</v>
      </c>
      <c r="H188" s="14">
        <f t="shared" si="2"/>
        <v>0</v>
      </c>
      <c r="I188" s="11">
        <v>96.1</v>
      </c>
      <c r="J188" s="15">
        <v>3.9</v>
      </c>
      <c r="K188" s="15">
        <v>3.9</v>
      </c>
      <c r="L188" s="16">
        <v>6.6</v>
      </c>
      <c r="M188" s="16">
        <v>6.4</v>
      </c>
      <c r="N188" s="15">
        <v>4.5</v>
      </c>
      <c r="O188" s="15">
        <v>4.5</v>
      </c>
    </row>
    <row r="189" spans="1:15" x14ac:dyDescent="0.25">
      <c r="A189" s="21" t="s">
        <v>146</v>
      </c>
      <c r="C189" s="11">
        <v>4267</v>
      </c>
      <c r="D189" s="11">
        <v>2208</v>
      </c>
      <c r="E189" s="11">
        <v>2059</v>
      </c>
      <c r="F189" s="12">
        <f t="shared" si="0"/>
        <v>0</v>
      </c>
      <c r="G189" s="13">
        <f t="shared" si="1"/>
        <v>0</v>
      </c>
      <c r="H189" s="14">
        <f t="shared" si="2"/>
        <v>0</v>
      </c>
      <c r="I189" s="11">
        <v>93.44</v>
      </c>
      <c r="J189" s="15" t="s">
        <v>303</v>
      </c>
      <c r="K189" s="15" t="s">
        <v>303</v>
      </c>
      <c r="L189" s="16" t="s">
        <v>303</v>
      </c>
      <c r="M189" s="16" t="s">
        <v>303</v>
      </c>
      <c r="N189" s="15" t="s">
        <v>303</v>
      </c>
      <c r="O189" s="15">
        <v>5.2</v>
      </c>
    </row>
    <row r="190" spans="1:15" x14ac:dyDescent="0.25">
      <c r="A190" s="21" t="s">
        <v>171</v>
      </c>
      <c r="C190" s="11">
        <v>12897</v>
      </c>
      <c r="D190" s="11">
        <v>6383</v>
      </c>
      <c r="E190" s="11">
        <v>6514</v>
      </c>
      <c r="F190" s="12">
        <f t="shared" si="0"/>
        <v>0</v>
      </c>
      <c r="G190" s="13">
        <f t="shared" si="1"/>
        <v>0</v>
      </c>
      <c r="H190" s="14">
        <f t="shared" si="2"/>
        <v>0</v>
      </c>
      <c r="I190" s="11">
        <v>97.46</v>
      </c>
      <c r="J190" s="15" t="s">
        <v>303</v>
      </c>
      <c r="K190" s="15">
        <v>4.0999999999999996</v>
      </c>
      <c r="L190" s="16" t="s">
        <v>303</v>
      </c>
      <c r="M190" s="16">
        <v>6.1</v>
      </c>
      <c r="N190" s="15" t="s">
        <v>303</v>
      </c>
      <c r="O190" s="15">
        <v>4.4000000000000004</v>
      </c>
    </row>
    <row r="191" spans="1:15" x14ac:dyDescent="0.25">
      <c r="A191" s="21" t="s">
        <v>270</v>
      </c>
      <c r="C191" s="11">
        <v>4034</v>
      </c>
      <c r="D191" s="11">
        <v>2056</v>
      </c>
      <c r="E191" s="11">
        <v>1978</v>
      </c>
      <c r="F191" s="12">
        <f t="shared" si="0"/>
        <v>0</v>
      </c>
      <c r="G191" s="13">
        <f t="shared" si="1"/>
        <v>0</v>
      </c>
      <c r="H191" s="14">
        <f t="shared" si="2"/>
        <v>0</v>
      </c>
      <c r="I191" s="11">
        <v>92.14</v>
      </c>
      <c r="J191" s="15" t="s">
        <v>303</v>
      </c>
      <c r="K191" s="15">
        <v>3.6</v>
      </c>
      <c r="L191" s="16">
        <v>6.2</v>
      </c>
      <c r="M191" s="16">
        <v>5.5</v>
      </c>
      <c r="N191" s="15">
        <v>4.4000000000000004</v>
      </c>
      <c r="O191" s="15">
        <v>4.5999999999999996</v>
      </c>
    </row>
    <row r="192" spans="1:15" x14ac:dyDescent="0.25">
      <c r="A192" s="21" t="s">
        <v>86</v>
      </c>
      <c r="C192" s="11">
        <v>9063</v>
      </c>
      <c r="D192" s="11">
        <v>4516</v>
      </c>
      <c r="E192" s="11">
        <v>4547</v>
      </c>
      <c r="F192" s="12">
        <f t="shared" si="0"/>
        <v>0</v>
      </c>
      <c r="G192" s="13">
        <f t="shared" si="1"/>
        <v>0</v>
      </c>
      <c r="H192" s="14">
        <f t="shared" si="2"/>
        <v>0</v>
      </c>
      <c r="I192" s="11">
        <v>93.75</v>
      </c>
      <c r="J192" s="15" t="s">
        <v>303</v>
      </c>
      <c r="K192" s="15" t="s">
        <v>303</v>
      </c>
      <c r="L192" s="16">
        <v>5.8</v>
      </c>
      <c r="M192" s="16">
        <v>6.1</v>
      </c>
      <c r="N192" s="15">
        <v>4.3</v>
      </c>
      <c r="O192" s="15">
        <v>4.3</v>
      </c>
    </row>
    <row r="193" spans="1:15" x14ac:dyDescent="0.25">
      <c r="A193" s="21" t="s">
        <v>257</v>
      </c>
      <c r="C193" s="11">
        <v>4245</v>
      </c>
      <c r="D193" s="11">
        <v>2145</v>
      </c>
      <c r="E193" s="11">
        <v>2100</v>
      </c>
      <c r="F193" s="12">
        <f t="shared" si="0"/>
        <v>0</v>
      </c>
      <c r="G193" s="13">
        <f t="shared" si="1"/>
        <v>0</v>
      </c>
      <c r="H193" s="14">
        <f t="shared" si="2"/>
        <v>0</v>
      </c>
      <c r="I193" s="11">
        <v>96.81</v>
      </c>
      <c r="J193" s="15" t="s">
        <v>303</v>
      </c>
      <c r="K193" s="15" t="s">
        <v>303</v>
      </c>
      <c r="L193" s="16">
        <v>6.3</v>
      </c>
      <c r="M193" s="16">
        <v>7.3</v>
      </c>
      <c r="N193" s="15">
        <v>3.8</v>
      </c>
      <c r="O193" s="15">
        <v>5.0999999999999996</v>
      </c>
    </row>
    <row r="194" spans="1:15" x14ac:dyDescent="0.25">
      <c r="A194" s="21" t="s">
        <v>9</v>
      </c>
      <c r="C194" s="11">
        <v>33663</v>
      </c>
      <c r="D194" s="11">
        <v>16390</v>
      </c>
      <c r="E194" s="11">
        <v>17273</v>
      </c>
      <c r="F194" s="12">
        <f t="shared" si="0"/>
        <v>0</v>
      </c>
      <c r="G194" s="13">
        <f t="shared" si="1"/>
        <v>0</v>
      </c>
      <c r="H194" s="14">
        <f t="shared" si="2"/>
        <v>0</v>
      </c>
      <c r="I194" s="11">
        <v>97.85</v>
      </c>
      <c r="J194" s="15" t="s">
        <v>303</v>
      </c>
      <c r="K194" s="15">
        <v>3.7</v>
      </c>
      <c r="L194" s="16">
        <v>6.2</v>
      </c>
      <c r="M194" s="16">
        <v>6.2</v>
      </c>
      <c r="N194" s="15">
        <v>5</v>
      </c>
      <c r="O194" s="15">
        <v>4.7</v>
      </c>
    </row>
    <row r="195" spans="1:15" x14ac:dyDescent="0.25">
      <c r="A195" s="21" t="s">
        <v>226</v>
      </c>
      <c r="C195" s="11">
        <v>2992</v>
      </c>
      <c r="D195" s="11">
        <v>1488</v>
      </c>
      <c r="E195" s="11">
        <v>1504</v>
      </c>
      <c r="F195" s="12">
        <f t="shared" si="0"/>
        <v>0</v>
      </c>
      <c r="G195" s="13">
        <f t="shared" si="1"/>
        <v>0</v>
      </c>
      <c r="H195" s="14">
        <f t="shared" si="2"/>
        <v>0</v>
      </c>
      <c r="I195" s="11">
        <v>97.3</v>
      </c>
      <c r="J195" s="15">
        <v>4.9000000000000004</v>
      </c>
      <c r="K195" s="15" t="s">
        <v>303</v>
      </c>
      <c r="L195" s="16">
        <v>7.4</v>
      </c>
      <c r="M195" s="16">
        <v>7.1</v>
      </c>
      <c r="N195" s="15">
        <v>5.7</v>
      </c>
      <c r="O195" s="15">
        <v>5.3</v>
      </c>
    </row>
    <row r="196" spans="1:15" x14ac:dyDescent="0.25">
      <c r="A196" s="21" t="s">
        <v>111</v>
      </c>
      <c r="C196" s="11">
        <v>10190</v>
      </c>
      <c r="D196" s="11">
        <v>5062</v>
      </c>
      <c r="E196" s="11">
        <v>5128</v>
      </c>
      <c r="F196" s="12">
        <f t="shared" si="0"/>
        <v>0</v>
      </c>
      <c r="G196" s="13">
        <f t="shared" si="1"/>
        <v>0</v>
      </c>
      <c r="H196" s="14">
        <f t="shared" si="2"/>
        <v>0</v>
      </c>
      <c r="I196" s="11">
        <v>95.67</v>
      </c>
      <c r="J196" s="15">
        <v>3.8</v>
      </c>
      <c r="K196" s="15">
        <v>3.6</v>
      </c>
      <c r="L196" s="15" t="s">
        <v>303</v>
      </c>
      <c r="M196" s="15" t="s">
        <v>303</v>
      </c>
      <c r="N196" s="15" t="s">
        <v>303</v>
      </c>
      <c r="O196" s="15" t="s">
        <v>303</v>
      </c>
    </row>
    <row r="197" spans="1:15" x14ac:dyDescent="0.25">
      <c r="A197" s="21" t="s">
        <v>163</v>
      </c>
      <c r="C197" s="11">
        <v>6716</v>
      </c>
      <c r="D197" s="11">
        <v>3340</v>
      </c>
      <c r="E197" s="11">
        <v>3376</v>
      </c>
      <c r="F197" s="12">
        <f t="shared" si="0"/>
        <v>0</v>
      </c>
      <c r="G197" s="13">
        <f t="shared" si="1"/>
        <v>0</v>
      </c>
      <c r="H197" s="14">
        <f t="shared" si="2"/>
        <v>0</v>
      </c>
      <c r="I197" s="11">
        <v>95.6</v>
      </c>
      <c r="J197" s="15">
        <v>3.9</v>
      </c>
      <c r="K197" s="15">
        <v>4.5</v>
      </c>
      <c r="L197" s="16">
        <v>6.1</v>
      </c>
      <c r="M197" s="16">
        <v>5.8</v>
      </c>
      <c r="N197" s="15">
        <v>4.5999999999999996</v>
      </c>
      <c r="O197" s="15">
        <v>5</v>
      </c>
    </row>
    <row r="198" spans="1:15" x14ac:dyDescent="0.25">
      <c r="A198" s="21" t="s">
        <v>91</v>
      </c>
      <c r="C198" s="11">
        <v>21972</v>
      </c>
      <c r="D198" s="11">
        <v>10882</v>
      </c>
      <c r="E198" s="11">
        <v>11090</v>
      </c>
      <c r="F198" s="12">
        <f t="shared" si="0"/>
        <v>0</v>
      </c>
      <c r="G198" s="13">
        <f t="shared" si="1"/>
        <v>0</v>
      </c>
      <c r="H198" s="14">
        <f t="shared" si="2"/>
        <v>0</v>
      </c>
      <c r="I198" s="11">
        <v>96.61</v>
      </c>
      <c r="J198" s="15">
        <v>3.8</v>
      </c>
      <c r="K198" s="15">
        <v>4.2</v>
      </c>
      <c r="L198" s="16">
        <v>6.6</v>
      </c>
      <c r="M198" s="16">
        <v>6.3</v>
      </c>
      <c r="N198" s="15">
        <v>4.9000000000000004</v>
      </c>
      <c r="O198" s="15">
        <v>4.8</v>
      </c>
    </row>
    <row r="199" spans="1:15" x14ac:dyDescent="0.25">
      <c r="A199" s="21" t="s">
        <v>97</v>
      </c>
      <c r="C199" s="11">
        <v>3473</v>
      </c>
      <c r="D199" s="11">
        <v>1742</v>
      </c>
      <c r="E199" s="11">
        <v>1731</v>
      </c>
      <c r="F199" s="12">
        <f t="shared" si="0"/>
        <v>0</v>
      </c>
      <c r="G199" s="13">
        <f t="shared" si="1"/>
        <v>0</v>
      </c>
      <c r="H199" s="14">
        <f t="shared" si="2"/>
        <v>0</v>
      </c>
      <c r="I199" s="11">
        <v>97.43</v>
      </c>
      <c r="J199" s="15" t="s">
        <v>303</v>
      </c>
      <c r="K199" s="15">
        <v>3.8</v>
      </c>
      <c r="L199" s="16">
        <v>6.1</v>
      </c>
      <c r="M199" s="16">
        <v>6.4</v>
      </c>
      <c r="N199" s="15" t="s">
        <v>303</v>
      </c>
      <c r="O199" s="15" t="s">
        <v>303</v>
      </c>
    </row>
    <row r="200" spans="1:15" x14ac:dyDescent="0.25">
      <c r="A200" s="21" t="s">
        <v>145</v>
      </c>
      <c r="C200" s="11">
        <v>5769</v>
      </c>
      <c r="D200" s="11">
        <v>2861</v>
      </c>
      <c r="E200" s="11">
        <v>2908</v>
      </c>
      <c r="F200" s="12">
        <f t="shared" si="0"/>
        <v>0</v>
      </c>
      <c r="G200" s="13">
        <f t="shared" si="1"/>
        <v>0</v>
      </c>
      <c r="H200" s="14">
        <f t="shared" si="2"/>
        <v>0</v>
      </c>
      <c r="I200" s="11">
        <v>96.57</v>
      </c>
      <c r="J200" s="15" t="s">
        <v>303</v>
      </c>
      <c r="K200" s="15">
        <v>4.9000000000000004</v>
      </c>
      <c r="L200" s="16">
        <v>6.7</v>
      </c>
      <c r="M200" s="16">
        <v>7.3</v>
      </c>
      <c r="N200" s="15">
        <v>5.8</v>
      </c>
      <c r="O200" s="15">
        <v>6.2</v>
      </c>
    </row>
    <row r="201" spans="1:15" x14ac:dyDescent="0.25">
      <c r="A201" s="21" t="s">
        <v>182</v>
      </c>
      <c r="C201" s="11">
        <v>2946</v>
      </c>
      <c r="D201" s="11">
        <v>1502</v>
      </c>
      <c r="E201" s="11">
        <v>1444</v>
      </c>
      <c r="F201" s="12">
        <f t="shared" si="0"/>
        <v>0</v>
      </c>
      <c r="G201" s="13">
        <f t="shared" si="1"/>
        <v>0</v>
      </c>
      <c r="H201" s="14">
        <f t="shared" si="2"/>
        <v>0</v>
      </c>
      <c r="I201" s="11">
        <v>92.44</v>
      </c>
      <c r="J201" s="15">
        <v>3.8</v>
      </c>
      <c r="K201" s="15">
        <v>3.7</v>
      </c>
      <c r="L201" s="16">
        <v>5.8</v>
      </c>
      <c r="M201" s="16">
        <v>6.1</v>
      </c>
      <c r="N201" s="15" t="s">
        <v>303</v>
      </c>
      <c r="O201" s="15">
        <v>4.9000000000000004</v>
      </c>
    </row>
    <row r="202" spans="1:15" x14ac:dyDescent="0.25">
      <c r="A202" s="21" t="s">
        <v>45</v>
      </c>
      <c r="C202" s="11">
        <v>34289</v>
      </c>
      <c r="D202" s="11">
        <v>16993</v>
      </c>
      <c r="E202" s="11">
        <v>17296</v>
      </c>
      <c r="F202" s="12">
        <f t="shared" si="0"/>
        <v>0</v>
      </c>
      <c r="G202" s="13">
        <f t="shared" si="1"/>
        <v>0</v>
      </c>
      <c r="H202" s="14">
        <f t="shared" si="2"/>
        <v>0</v>
      </c>
      <c r="I202" s="11">
        <v>98.63</v>
      </c>
      <c r="J202" s="15">
        <v>4.0999999999999996</v>
      </c>
      <c r="K202" s="15">
        <v>4</v>
      </c>
      <c r="L202" s="16">
        <v>6.6</v>
      </c>
      <c r="M202" s="16">
        <v>6.8</v>
      </c>
      <c r="N202" s="15">
        <v>5.6</v>
      </c>
      <c r="O202" s="15">
        <v>6</v>
      </c>
    </row>
    <row r="203" spans="1:15" x14ac:dyDescent="0.25">
      <c r="A203" s="21" t="s">
        <v>259</v>
      </c>
      <c r="C203" s="11">
        <v>4437</v>
      </c>
      <c r="D203" s="11">
        <v>2218</v>
      </c>
      <c r="E203" s="11">
        <v>2219</v>
      </c>
      <c r="F203" s="12">
        <f t="shared" si="0"/>
        <v>0</v>
      </c>
      <c r="G203" s="13">
        <f t="shared" si="1"/>
        <v>0</v>
      </c>
      <c r="H203" s="14">
        <f t="shared" si="2"/>
        <v>0</v>
      </c>
      <c r="I203" s="11">
        <v>92.85</v>
      </c>
      <c r="J203" s="15" t="s">
        <v>303</v>
      </c>
      <c r="K203" s="15" t="s">
        <v>303</v>
      </c>
      <c r="L203" s="16">
        <v>5.3</v>
      </c>
      <c r="M203" s="16">
        <v>5.5</v>
      </c>
      <c r="N203" s="15">
        <v>4.5</v>
      </c>
      <c r="O203" s="15">
        <v>3.7</v>
      </c>
    </row>
    <row r="204" spans="1:15" x14ac:dyDescent="0.25">
      <c r="A204" s="21" t="s">
        <v>289</v>
      </c>
      <c r="C204" s="11">
        <v>3210</v>
      </c>
      <c r="D204" s="11">
        <v>1623</v>
      </c>
      <c r="E204" s="11">
        <v>1587</v>
      </c>
      <c r="F204" s="12">
        <f t="shared" si="0"/>
        <v>0</v>
      </c>
      <c r="G204" s="13">
        <f t="shared" si="1"/>
        <v>0</v>
      </c>
      <c r="H204" s="14">
        <f t="shared" si="2"/>
        <v>0</v>
      </c>
      <c r="I204" s="11">
        <v>92.73</v>
      </c>
      <c r="J204" s="15" t="s">
        <v>303</v>
      </c>
      <c r="K204" s="15" t="s">
        <v>303</v>
      </c>
      <c r="L204" s="16">
        <v>5.9</v>
      </c>
      <c r="M204" s="16">
        <v>5.7</v>
      </c>
      <c r="N204" s="15">
        <v>4.8</v>
      </c>
      <c r="O204" s="15" t="s">
        <v>303</v>
      </c>
    </row>
    <row r="205" spans="1:15" x14ac:dyDescent="0.25">
      <c r="A205" s="21" t="s">
        <v>180</v>
      </c>
      <c r="C205" s="11">
        <v>10649</v>
      </c>
      <c r="D205" s="11">
        <v>5276</v>
      </c>
      <c r="E205" s="11">
        <v>5373</v>
      </c>
      <c r="F205" s="12">
        <f t="shared" si="0"/>
        <v>0</v>
      </c>
      <c r="G205" s="13">
        <f t="shared" si="1"/>
        <v>0</v>
      </c>
      <c r="H205" s="14">
        <f t="shared" si="2"/>
        <v>0</v>
      </c>
      <c r="I205" s="11">
        <v>93.34</v>
      </c>
      <c r="J205" s="15" t="s">
        <v>303</v>
      </c>
      <c r="K205" s="15">
        <v>3.8</v>
      </c>
      <c r="L205" s="16">
        <v>5.7</v>
      </c>
      <c r="M205" s="16">
        <v>5.6</v>
      </c>
      <c r="N205" s="15">
        <v>4.9000000000000004</v>
      </c>
      <c r="O205" s="15">
        <v>4</v>
      </c>
    </row>
    <row r="206" spans="1:15" x14ac:dyDescent="0.25">
      <c r="A206" s="21" t="s">
        <v>123</v>
      </c>
      <c r="C206" s="11">
        <v>27688</v>
      </c>
      <c r="D206" s="11">
        <v>13767</v>
      </c>
      <c r="E206" s="11">
        <v>13921</v>
      </c>
      <c r="F206" s="12">
        <f t="shared" si="0"/>
        <v>0</v>
      </c>
      <c r="G206" s="13">
        <f t="shared" si="1"/>
        <v>0</v>
      </c>
      <c r="H206" s="14">
        <f t="shared" si="2"/>
        <v>0</v>
      </c>
      <c r="I206" s="11">
        <v>97.69</v>
      </c>
      <c r="J206" s="15" t="s">
        <v>303</v>
      </c>
      <c r="K206" s="15" t="s">
        <v>303</v>
      </c>
      <c r="L206" s="16">
        <v>6.2</v>
      </c>
      <c r="M206" s="16">
        <v>5.8</v>
      </c>
      <c r="N206" s="15">
        <v>5.3</v>
      </c>
      <c r="O206" s="15">
        <v>4.9000000000000004</v>
      </c>
    </row>
    <row r="207" spans="1:15" x14ac:dyDescent="0.25">
      <c r="A207" s="21" t="s">
        <v>20</v>
      </c>
      <c r="C207" s="11">
        <v>32970</v>
      </c>
      <c r="D207" s="11">
        <v>16281</v>
      </c>
      <c r="E207" s="11">
        <v>16689</v>
      </c>
      <c r="F207" s="12">
        <f t="shared" si="0"/>
        <v>0</v>
      </c>
      <c r="G207" s="13">
        <f t="shared" si="1"/>
        <v>0</v>
      </c>
      <c r="H207" s="14">
        <f t="shared" si="2"/>
        <v>0</v>
      </c>
      <c r="I207" s="11">
        <v>97.35</v>
      </c>
      <c r="J207" s="15">
        <v>3.2</v>
      </c>
      <c r="K207" s="15">
        <v>3.5</v>
      </c>
      <c r="L207" s="16">
        <v>6.2</v>
      </c>
      <c r="M207" s="16">
        <v>6.1</v>
      </c>
      <c r="N207" s="15">
        <v>4.4000000000000004</v>
      </c>
      <c r="O207" s="15">
        <v>4.9000000000000004</v>
      </c>
    </row>
    <row r="208" spans="1:15" x14ac:dyDescent="0.25">
      <c r="A208" s="21" t="s">
        <v>126</v>
      </c>
      <c r="C208" s="11">
        <v>17123</v>
      </c>
      <c r="D208" s="11">
        <v>8603</v>
      </c>
      <c r="E208" s="11">
        <v>8520</v>
      </c>
      <c r="F208" s="12">
        <f t="shared" si="0"/>
        <v>0</v>
      </c>
      <c r="G208" s="13">
        <f t="shared" si="1"/>
        <v>0</v>
      </c>
      <c r="H208" s="14">
        <f t="shared" si="2"/>
        <v>0</v>
      </c>
      <c r="I208" s="11">
        <v>96.19</v>
      </c>
      <c r="J208" s="15">
        <v>2.9</v>
      </c>
      <c r="K208" s="15">
        <v>3.4</v>
      </c>
      <c r="L208" s="16">
        <v>6.4</v>
      </c>
      <c r="M208" s="16">
        <v>5.7</v>
      </c>
      <c r="N208" s="15">
        <v>4</v>
      </c>
      <c r="O208" s="15">
        <v>4.2</v>
      </c>
    </row>
    <row r="209" spans="1:15" x14ac:dyDescent="0.25">
      <c r="A209" s="21" t="s">
        <v>241</v>
      </c>
      <c r="C209" s="11">
        <v>8270</v>
      </c>
      <c r="D209" s="11">
        <v>4143</v>
      </c>
      <c r="E209" s="11">
        <v>4127</v>
      </c>
      <c r="F209" s="12">
        <f t="shared" si="0"/>
        <v>0</v>
      </c>
      <c r="G209" s="13">
        <f t="shared" si="1"/>
        <v>0</v>
      </c>
      <c r="H209" s="14">
        <f t="shared" si="2"/>
        <v>0</v>
      </c>
      <c r="I209" s="11">
        <v>94.83</v>
      </c>
      <c r="J209" s="15" t="s">
        <v>303</v>
      </c>
      <c r="K209" s="15" t="s">
        <v>303</v>
      </c>
      <c r="L209" s="16">
        <v>6.4</v>
      </c>
      <c r="M209" s="16">
        <v>6.4</v>
      </c>
      <c r="N209" s="15">
        <v>5.0999999999999996</v>
      </c>
      <c r="O209" s="15">
        <v>5.2</v>
      </c>
    </row>
    <row r="210" spans="1:15" x14ac:dyDescent="0.25">
      <c r="A210" s="21" t="s">
        <v>278</v>
      </c>
      <c r="C210" s="11">
        <v>1689</v>
      </c>
      <c r="D210" s="11">
        <v>857</v>
      </c>
      <c r="E210" s="11">
        <v>832</v>
      </c>
      <c r="F210" s="12">
        <f t="shared" si="0"/>
        <v>0</v>
      </c>
      <c r="G210" s="13">
        <f t="shared" si="1"/>
        <v>0</v>
      </c>
      <c r="H210" s="14">
        <f t="shared" si="2"/>
        <v>0</v>
      </c>
      <c r="I210" s="11">
        <v>96.94</v>
      </c>
      <c r="J210" s="15" t="s">
        <v>303</v>
      </c>
      <c r="K210" s="15" t="s">
        <v>303</v>
      </c>
      <c r="L210" s="16">
        <v>7.6</v>
      </c>
      <c r="M210" s="16">
        <v>7.1</v>
      </c>
      <c r="N210" s="15">
        <v>5.8</v>
      </c>
      <c r="O210" s="15">
        <v>5.8</v>
      </c>
    </row>
    <row r="211" spans="1:15" x14ac:dyDescent="0.25">
      <c r="A211" s="21" t="s">
        <v>102</v>
      </c>
      <c r="C211" s="11">
        <v>20010</v>
      </c>
      <c r="D211" s="11">
        <v>9935</v>
      </c>
      <c r="E211" s="11">
        <v>10075</v>
      </c>
      <c r="F211" s="12">
        <f t="shared" si="0"/>
        <v>0</v>
      </c>
      <c r="G211" s="13">
        <f t="shared" si="1"/>
        <v>0</v>
      </c>
      <c r="H211" s="14">
        <f t="shared" si="2"/>
        <v>0</v>
      </c>
      <c r="I211" s="11">
        <v>97.96</v>
      </c>
      <c r="J211" s="15">
        <v>3.7</v>
      </c>
      <c r="K211" s="15">
        <v>4</v>
      </c>
      <c r="L211" s="16">
        <v>6</v>
      </c>
      <c r="M211" s="16">
        <v>5.4</v>
      </c>
      <c r="N211" s="15">
        <v>5</v>
      </c>
      <c r="O211" s="15">
        <v>4.8</v>
      </c>
    </row>
    <row r="212" spans="1:15" x14ac:dyDescent="0.25">
      <c r="A212" s="21" t="s">
        <v>136</v>
      </c>
      <c r="C212" s="11">
        <v>2301</v>
      </c>
      <c r="D212" s="11">
        <v>1168</v>
      </c>
      <c r="E212" s="11">
        <v>1133</v>
      </c>
      <c r="F212" s="12">
        <f t="shared" si="0"/>
        <v>0</v>
      </c>
      <c r="G212" s="13">
        <f t="shared" si="1"/>
        <v>0</v>
      </c>
      <c r="H212" s="14">
        <f t="shared" si="2"/>
        <v>0</v>
      </c>
      <c r="I212" s="11">
        <v>92.33</v>
      </c>
      <c r="J212" s="15" t="s">
        <v>303</v>
      </c>
      <c r="K212" s="15">
        <v>4.7</v>
      </c>
      <c r="L212" s="16">
        <v>5.2</v>
      </c>
      <c r="M212" s="16">
        <v>6.5</v>
      </c>
      <c r="N212" s="15">
        <v>4.4000000000000004</v>
      </c>
      <c r="O212" s="15">
        <v>5.3</v>
      </c>
    </row>
    <row r="213" spans="1:15" x14ac:dyDescent="0.25">
      <c r="A213" s="21" t="s">
        <v>279</v>
      </c>
      <c r="C213" s="11">
        <v>2964</v>
      </c>
      <c r="D213" s="11">
        <v>1544</v>
      </c>
      <c r="E213" s="11">
        <v>1420</v>
      </c>
      <c r="F213" s="12">
        <f t="shared" si="0"/>
        <v>0</v>
      </c>
      <c r="G213" s="13">
        <f t="shared" si="1"/>
        <v>0</v>
      </c>
      <c r="H213" s="14">
        <f t="shared" si="2"/>
        <v>0</v>
      </c>
      <c r="I213" s="11">
        <v>94.97</v>
      </c>
      <c r="J213" s="15" t="s">
        <v>303</v>
      </c>
      <c r="K213" s="15">
        <v>4.4000000000000004</v>
      </c>
      <c r="L213" s="16">
        <v>6.7</v>
      </c>
      <c r="M213" s="16">
        <v>6.5</v>
      </c>
      <c r="N213" s="15">
        <v>4.7</v>
      </c>
      <c r="O213" s="15">
        <v>5.5</v>
      </c>
    </row>
    <row r="214" spans="1:15" x14ac:dyDescent="0.25">
      <c r="A214" s="21" t="s">
        <v>256</v>
      </c>
      <c r="C214" s="11">
        <v>11022</v>
      </c>
      <c r="D214" s="11">
        <v>5524</v>
      </c>
      <c r="E214" s="11">
        <v>5498</v>
      </c>
      <c r="F214" s="12">
        <f t="shared" si="0"/>
        <v>0</v>
      </c>
      <c r="G214" s="13">
        <f t="shared" si="1"/>
        <v>0</v>
      </c>
      <c r="H214" s="14">
        <f t="shared" si="2"/>
        <v>0</v>
      </c>
      <c r="I214" s="11">
        <v>94.99</v>
      </c>
      <c r="J214" s="15">
        <v>4.0999999999999996</v>
      </c>
      <c r="K214" s="15" t="s">
        <v>303</v>
      </c>
      <c r="L214" s="16">
        <v>6.2</v>
      </c>
      <c r="M214" s="16">
        <v>6.7</v>
      </c>
      <c r="N214" s="15">
        <v>4.8</v>
      </c>
      <c r="O214" s="15" t="s">
        <v>303</v>
      </c>
    </row>
    <row r="215" spans="1:15" x14ac:dyDescent="0.25">
      <c r="A215" s="21" t="s">
        <v>207</v>
      </c>
      <c r="C215" s="11">
        <v>3279</v>
      </c>
      <c r="D215" s="11">
        <v>1688</v>
      </c>
      <c r="E215" s="11">
        <v>1591</v>
      </c>
      <c r="F215" s="12">
        <f t="shared" si="0"/>
        <v>0</v>
      </c>
      <c r="G215" s="13">
        <f t="shared" si="1"/>
        <v>0</v>
      </c>
      <c r="H215" s="14">
        <f t="shared" si="2"/>
        <v>0</v>
      </c>
      <c r="I215" s="11">
        <v>96.16</v>
      </c>
      <c r="J215" s="15" t="s">
        <v>303</v>
      </c>
      <c r="K215" s="15" t="s">
        <v>303</v>
      </c>
      <c r="L215" s="16">
        <v>6</v>
      </c>
      <c r="M215" s="16">
        <v>5.7</v>
      </c>
      <c r="N215" s="15">
        <v>5.3</v>
      </c>
      <c r="O215" s="15">
        <v>4.8</v>
      </c>
    </row>
    <row r="216" spans="1:15" x14ac:dyDescent="0.25">
      <c r="A216" s="21" t="s">
        <v>71</v>
      </c>
      <c r="C216" s="11">
        <v>6253</v>
      </c>
      <c r="D216" s="11">
        <v>3222</v>
      </c>
      <c r="E216" s="11">
        <v>3031</v>
      </c>
      <c r="F216" s="12">
        <f t="shared" si="0"/>
        <v>0</v>
      </c>
      <c r="G216" s="13">
        <f t="shared" si="1"/>
        <v>0</v>
      </c>
      <c r="H216" s="14">
        <f t="shared" si="2"/>
        <v>0</v>
      </c>
      <c r="I216" s="11">
        <v>95.76</v>
      </c>
      <c r="J216" s="15" t="s">
        <v>303</v>
      </c>
      <c r="K216" s="15">
        <v>3.4</v>
      </c>
      <c r="L216" s="16">
        <v>5.5</v>
      </c>
      <c r="M216" s="16">
        <v>6.2</v>
      </c>
      <c r="N216" s="15">
        <v>4.4000000000000004</v>
      </c>
      <c r="O216" s="15">
        <v>4.5999999999999996</v>
      </c>
    </row>
    <row r="217" spans="1:15" x14ac:dyDescent="0.25">
      <c r="A217" s="21" t="s">
        <v>190</v>
      </c>
      <c r="C217" s="11">
        <v>6452</v>
      </c>
      <c r="D217" s="11">
        <v>3296</v>
      </c>
      <c r="E217" s="11">
        <v>3156</v>
      </c>
      <c r="F217" s="12">
        <f t="shared" si="0"/>
        <v>0</v>
      </c>
      <c r="G217" s="13">
        <f t="shared" si="1"/>
        <v>0</v>
      </c>
      <c r="H217" s="14">
        <f t="shared" si="2"/>
        <v>0</v>
      </c>
      <c r="I217" s="11">
        <v>95.18</v>
      </c>
      <c r="J217" s="15" t="s">
        <v>303</v>
      </c>
      <c r="K217" s="15">
        <v>3.8</v>
      </c>
      <c r="L217" s="16">
        <v>6.4</v>
      </c>
      <c r="M217" s="16">
        <v>6.2</v>
      </c>
      <c r="N217" s="15">
        <v>4.7</v>
      </c>
      <c r="O217" s="15">
        <v>4.5999999999999996</v>
      </c>
    </row>
    <row r="218" spans="1:15" x14ac:dyDescent="0.25">
      <c r="A218" s="21" t="s">
        <v>85</v>
      </c>
      <c r="C218" s="11">
        <v>7747</v>
      </c>
      <c r="D218" s="11">
        <v>3871</v>
      </c>
      <c r="E218" s="11">
        <v>3876</v>
      </c>
      <c r="F218" s="12">
        <f t="shared" si="0"/>
        <v>0</v>
      </c>
      <c r="G218" s="13">
        <f t="shared" si="1"/>
        <v>0</v>
      </c>
      <c r="H218" s="14">
        <f t="shared" si="2"/>
        <v>0</v>
      </c>
      <c r="I218" s="11">
        <v>97.36</v>
      </c>
      <c r="J218" s="15" t="s">
        <v>303</v>
      </c>
      <c r="K218" s="15" t="s">
        <v>303</v>
      </c>
      <c r="L218" s="16">
        <v>6</v>
      </c>
      <c r="M218" s="16" t="s">
        <v>303</v>
      </c>
      <c r="N218" s="15">
        <v>5.4</v>
      </c>
      <c r="O218" s="15" t="s">
        <v>303</v>
      </c>
    </row>
    <row r="219" spans="1:15" x14ac:dyDescent="0.25">
      <c r="A219" s="21" t="s">
        <v>19</v>
      </c>
      <c r="C219" s="11">
        <v>72587</v>
      </c>
      <c r="D219" s="11">
        <v>35440</v>
      </c>
      <c r="E219" s="11">
        <v>37147</v>
      </c>
      <c r="F219" s="12">
        <f t="shared" si="0"/>
        <v>0</v>
      </c>
      <c r="G219" s="13">
        <f t="shared" si="1"/>
        <v>0</v>
      </c>
      <c r="H219" s="14">
        <f t="shared" si="2"/>
        <v>0</v>
      </c>
      <c r="I219" s="11">
        <v>98.13</v>
      </c>
      <c r="J219" s="15" t="s">
        <v>303</v>
      </c>
      <c r="K219" s="15" t="s">
        <v>303</v>
      </c>
      <c r="L219" s="16" t="s">
        <v>303</v>
      </c>
      <c r="M219" s="16" t="s">
        <v>303</v>
      </c>
      <c r="N219" s="15" t="s">
        <v>303</v>
      </c>
      <c r="O219" s="15">
        <v>5.2</v>
      </c>
    </row>
    <row r="220" spans="1:15" x14ac:dyDescent="0.25">
      <c r="A220" s="21" t="s">
        <v>117</v>
      </c>
      <c r="C220" s="11">
        <v>10865</v>
      </c>
      <c r="D220" s="11">
        <v>5461</v>
      </c>
      <c r="E220" s="11">
        <v>5404</v>
      </c>
      <c r="F220" s="12">
        <f t="shared" si="0"/>
        <v>0</v>
      </c>
      <c r="G220" s="13">
        <f t="shared" si="1"/>
        <v>0</v>
      </c>
      <c r="H220" s="14">
        <f t="shared" si="2"/>
        <v>0</v>
      </c>
      <c r="I220" s="11">
        <v>98.03</v>
      </c>
      <c r="J220" s="15">
        <v>4.2</v>
      </c>
      <c r="K220" s="15">
        <v>3.9</v>
      </c>
      <c r="L220" s="16">
        <v>6</v>
      </c>
      <c r="M220" s="16">
        <v>6</v>
      </c>
      <c r="N220" s="15">
        <v>4.8</v>
      </c>
      <c r="O220" s="15">
        <v>4.5999999999999996</v>
      </c>
    </row>
    <row r="221" spans="1:15" x14ac:dyDescent="0.25">
      <c r="A221" s="21" t="s">
        <v>193</v>
      </c>
      <c r="C221" s="11">
        <v>4847</v>
      </c>
      <c r="D221" s="11">
        <v>2509</v>
      </c>
      <c r="E221" s="11">
        <v>2338</v>
      </c>
      <c r="F221" s="12">
        <f t="shared" si="0"/>
        <v>0</v>
      </c>
      <c r="G221" s="13">
        <f t="shared" si="1"/>
        <v>0</v>
      </c>
      <c r="H221" s="14">
        <f t="shared" si="2"/>
        <v>0</v>
      </c>
      <c r="I221" s="11">
        <v>98.84</v>
      </c>
      <c r="J221" s="15">
        <v>4.7</v>
      </c>
      <c r="K221" s="15">
        <v>4.5</v>
      </c>
      <c r="L221" s="16">
        <v>6.8</v>
      </c>
      <c r="M221" s="16">
        <v>6.4</v>
      </c>
      <c r="N221" s="15">
        <v>5.6</v>
      </c>
      <c r="O221" s="15">
        <v>4.9000000000000004</v>
      </c>
    </row>
    <row r="222" spans="1:15" x14ac:dyDescent="0.25">
      <c r="A222" s="21" t="s">
        <v>64</v>
      </c>
      <c r="C222" s="11">
        <v>39261</v>
      </c>
      <c r="D222" s="11">
        <v>19493</v>
      </c>
      <c r="E222" s="11">
        <v>19768</v>
      </c>
      <c r="F222" s="12">
        <f t="shared" si="0"/>
        <v>0</v>
      </c>
      <c r="G222" s="13">
        <f t="shared" si="1"/>
        <v>0</v>
      </c>
      <c r="H222" s="14">
        <f t="shared" si="2"/>
        <v>0</v>
      </c>
      <c r="I222" s="11">
        <v>96.66</v>
      </c>
      <c r="J222" s="15">
        <v>3.8</v>
      </c>
      <c r="K222" s="15">
        <v>3.5</v>
      </c>
      <c r="L222" s="16">
        <v>6</v>
      </c>
      <c r="M222" s="16">
        <v>6.3</v>
      </c>
      <c r="N222" s="15">
        <v>5</v>
      </c>
      <c r="O222" s="15">
        <v>5.0999999999999996</v>
      </c>
    </row>
    <row r="223" spans="1:15" x14ac:dyDescent="0.25">
      <c r="A223" s="21" t="s">
        <v>138</v>
      </c>
      <c r="C223" s="11">
        <v>2397</v>
      </c>
      <c r="D223" s="11">
        <v>1232</v>
      </c>
      <c r="E223" s="11">
        <v>1165</v>
      </c>
      <c r="F223" s="12">
        <f t="shared" si="0"/>
        <v>0</v>
      </c>
      <c r="G223" s="13">
        <f t="shared" si="1"/>
        <v>0</v>
      </c>
      <c r="H223" s="14">
        <f t="shared" si="2"/>
        <v>0</v>
      </c>
      <c r="I223" s="11">
        <v>93.54</v>
      </c>
      <c r="J223" s="15" t="s">
        <v>303</v>
      </c>
      <c r="K223" s="15">
        <v>4</v>
      </c>
      <c r="L223" s="16" t="s">
        <v>303</v>
      </c>
      <c r="M223" s="16" t="s">
        <v>303</v>
      </c>
      <c r="N223" s="15" t="s">
        <v>303</v>
      </c>
      <c r="O223" s="15" t="s">
        <v>303</v>
      </c>
    </row>
    <row r="224" spans="1:15" x14ac:dyDescent="0.25">
      <c r="A224" s="21" t="s">
        <v>181</v>
      </c>
      <c r="C224" s="11">
        <v>4768</v>
      </c>
      <c r="D224" s="11">
        <v>2454</v>
      </c>
      <c r="E224" s="11">
        <v>2314</v>
      </c>
      <c r="F224" s="12">
        <f t="shared" si="0"/>
        <v>0</v>
      </c>
      <c r="G224" s="13">
        <f t="shared" si="1"/>
        <v>0</v>
      </c>
      <c r="H224" s="14">
        <f t="shared" si="2"/>
        <v>0</v>
      </c>
      <c r="I224" s="11">
        <v>93.9</v>
      </c>
      <c r="J224" s="15">
        <v>4.5</v>
      </c>
      <c r="K224" s="15">
        <v>4.5999999999999996</v>
      </c>
      <c r="L224" s="16">
        <v>7.5</v>
      </c>
      <c r="M224" s="16">
        <v>7.4</v>
      </c>
      <c r="N224" s="15" t="s">
        <v>303</v>
      </c>
      <c r="O224" s="15">
        <v>4.8</v>
      </c>
    </row>
    <row r="225" spans="1:15" x14ac:dyDescent="0.25">
      <c r="A225" s="21" t="s">
        <v>144</v>
      </c>
      <c r="C225" s="11">
        <v>12757</v>
      </c>
      <c r="D225" s="11">
        <v>6357</v>
      </c>
      <c r="E225" s="11">
        <v>6400</v>
      </c>
      <c r="F225" s="12">
        <f t="shared" si="0"/>
        <v>0</v>
      </c>
      <c r="G225" s="13">
        <f t="shared" si="1"/>
        <v>0</v>
      </c>
      <c r="H225" s="14">
        <f t="shared" si="2"/>
        <v>0</v>
      </c>
      <c r="I225" s="11">
        <v>96.67</v>
      </c>
      <c r="J225" s="15" t="s">
        <v>303</v>
      </c>
      <c r="K225" s="15">
        <v>4.2</v>
      </c>
      <c r="L225" s="16">
        <v>6.3</v>
      </c>
      <c r="M225" s="16">
        <v>6.4</v>
      </c>
      <c r="N225" s="15">
        <v>5.4</v>
      </c>
      <c r="O225" s="15">
        <v>5</v>
      </c>
    </row>
    <row r="226" spans="1:15" x14ac:dyDescent="0.25">
      <c r="A226" s="21" t="s">
        <v>174</v>
      </c>
      <c r="C226" s="11">
        <v>4823</v>
      </c>
      <c r="D226" s="11">
        <v>2445</v>
      </c>
      <c r="E226" s="11">
        <v>2378</v>
      </c>
      <c r="F226" s="12">
        <f t="shared" si="0"/>
        <v>0</v>
      </c>
      <c r="G226" s="13">
        <f t="shared" si="1"/>
        <v>0</v>
      </c>
      <c r="H226" s="14">
        <f t="shared" si="2"/>
        <v>0</v>
      </c>
      <c r="I226" s="11">
        <v>92.72</v>
      </c>
      <c r="J226" s="15" t="s">
        <v>303</v>
      </c>
      <c r="K226" s="15">
        <v>3.3</v>
      </c>
      <c r="L226" s="16">
        <v>5.7</v>
      </c>
      <c r="M226" s="16">
        <v>5.3</v>
      </c>
      <c r="N226" s="15">
        <v>4.7</v>
      </c>
      <c r="O226" s="15">
        <v>4.5</v>
      </c>
    </row>
    <row r="227" spans="1:15" x14ac:dyDescent="0.25">
      <c r="A227" s="21" t="s">
        <v>225</v>
      </c>
      <c r="C227" s="11">
        <v>7489</v>
      </c>
      <c r="D227" s="11">
        <v>3805</v>
      </c>
      <c r="E227" s="11">
        <v>3684</v>
      </c>
      <c r="F227" s="12">
        <f t="shared" si="0"/>
        <v>0</v>
      </c>
      <c r="G227" s="13">
        <f t="shared" si="1"/>
        <v>0</v>
      </c>
      <c r="H227" s="14">
        <f t="shared" si="2"/>
        <v>0</v>
      </c>
      <c r="I227" s="11">
        <v>96.76</v>
      </c>
      <c r="J227" s="15" t="s">
        <v>303</v>
      </c>
      <c r="K227" s="15">
        <v>3.7</v>
      </c>
      <c r="L227" s="16">
        <v>6.3</v>
      </c>
      <c r="M227" s="16">
        <v>6.2</v>
      </c>
      <c r="N227" s="15">
        <v>4.4000000000000004</v>
      </c>
      <c r="O227" s="15">
        <v>5.3</v>
      </c>
    </row>
    <row r="228" spans="1:15" x14ac:dyDescent="0.25">
      <c r="A228" s="21" t="s">
        <v>276</v>
      </c>
      <c r="C228" s="11">
        <v>3632</v>
      </c>
      <c r="D228" s="11">
        <v>1837</v>
      </c>
      <c r="E228" s="11">
        <v>1795</v>
      </c>
      <c r="F228" s="12">
        <f t="shared" si="0"/>
        <v>0</v>
      </c>
      <c r="G228" s="13">
        <f t="shared" si="1"/>
        <v>0</v>
      </c>
      <c r="H228" s="14">
        <f t="shared" si="2"/>
        <v>0</v>
      </c>
      <c r="I228" s="11">
        <v>92.02</v>
      </c>
      <c r="J228" s="15">
        <v>3.8</v>
      </c>
      <c r="K228" s="15" t="s">
        <v>303</v>
      </c>
      <c r="L228" s="16">
        <v>6</v>
      </c>
      <c r="M228" s="16">
        <v>6.4</v>
      </c>
      <c r="N228" s="15">
        <v>4.8</v>
      </c>
      <c r="O228" s="15">
        <v>5.4</v>
      </c>
    </row>
    <row r="229" spans="1:15" x14ac:dyDescent="0.25">
      <c r="A229" s="21" t="s">
        <v>280</v>
      </c>
      <c r="C229" s="11">
        <v>4390</v>
      </c>
      <c r="D229" s="11">
        <v>2194</v>
      </c>
      <c r="E229" s="11">
        <v>2196</v>
      </c>
      <c r="F229" s="12">
        <f t="shared" si="0"/>
        <v>0</v>
      </c>
      <c r="G229" s="13">
        <f t="shared" si="1"/>
        <v>0</v>
      </c>
      <c r="H229" s="14">
        <f t="shared" si="2"/>
        <v>0</v>
      </c>
      <c r="I229" s="11">
        <v>95.58</v>
      </c>
      <c r="J229" s="15" t="s">
        <v>303</v>
      </c>
      <c r="K229" s="15" t="s">
        <v>303</v>
      </c>
      <c r="L229" s="16">
        <v>6.7</v>
      </c>
      <c r="M229" s="16">
        <v>6.9</v>
      </c>
      <c r="N229" s="15">
        <v>5.5</v>
      </c>
      <c r="O229" s="15">
        <v>5.9</v>
      </c>
    </row>
    <row r="230" spans="1:15" x14ac:dyDescent="0.25">
      <c r="A230" s="21" t="s">
        <v>74</v>
      </c>
      <c r="C230" s="11">
        <v>12882</v>
      </c>
      <c r="D230" s="11">
        <v>6504</v>
      </c>
      <c r="E230" s="11">
        <v>6378</v>
      </c>
      <c r="F230" s="12">
        <f t="shared" si="0"/>
        <v>0</v>
      </c>
      <c r="G230" s="13">
        <f t="shared" si="1"/>
        <v>0</v>
      </c>
      <c r="H230" s="14">
        <f t="shared" si="2"/>
        <v>0</v>
      </c>
      <c r="I230" s="11">
        <v>96.37</v>
      </c>
      <c r="J230" s="15" t="s">
        <v>303</v>
      </c>
      <c r="K230" s="15">
        <v>3.7</v>
      </c>
      <c r="L230" s="16">
        <v>5.7</v>
      </c>
      <c r="M230" s="16">
        <v>5.5</v>
      </c>
      <c r="N230" s="15">
        <v>4.3</v>
      </c>
      <c r="O230" s="15">
        <v>4.4000000000000004</v>
      </c>
    </row>
    <row r="231" spans="1:15" x14ac:dyDescent="0.25">
      <c r="A231" s="21" t="s">
        <v>135</v>
      </c>
      <c r="C231" s="11">
        <v>15546</v>
      </c>
      <c r="D231" s="11">
        <v>7700</v>
      </c>
      <c r="E231" s="11">
        <v>7846</v>
      </c>
      <c r="F231" s="12">
        <f t="shared" si="0"/>
        <v>0</v>
      </c>
      <c r="G231" s="13">
        <f t="shared" si="1"/>
        <v>0</v>
      </c>
      <c r="H231" s="14">
        <f t="shared" si="2"/>
        <v>0</v>
      </c>
      <c r="I231" s="11">
        <v>94.18</v>
      </c>
      <c r="J231" s="15" t="s">
        <v>303</v>
      </c>
      <c r="K231" s="15">
        <v>3.5</v>
      </c>
      <c r="L231" s="16">
        <v>5.5</v>
      </c>
      <c r="M231" s="16">
        <v>5.6</v>
      </c>
      <c r="N231" s="15">
        <v>4.4000000000000004</v>
      </c>
      <c r="O231" s="15">
        <v>4.4000000000000004</v>
      </c>
    </row>
    <row r="232" spans="1:15" x14ac:dyDescent="0.25">
      <c r="A232" s="21" t="s">
        <v>105</v>
      </c>
      <c r="C232" s="11">
        <v>2425</v>
      </c>
      <c r="D232" s="11">
        <v>1243</v>
      </c>
      <c r="E232" s="11">
        <v>1182</v>
      </c>
      <c r="F232" s="12">
        <f t="shared" si="0"/>
        <v>0</v>
      </c>
      <c r="G232" s="13">
        <f t="shared" si="1"/>
        <v>0</v>
      </c>
      <c r="H232" s="14">
        <f t="shared" si="2"/>
        <v>0</v>
      </c>
      <c r="I232" s="11">
        <v>96.24</v>
      </c>
      <c r="J232" s="15">
        <v>4.9000000000000004</v>
      </c>
      <c r="K232" s="15">
        <v>4.5999999999999996</v>
      </c>
      <c r="L232" s="16">
        <v>6.8</v>
      </c>
      <c r="M232" s="16">
        <v>7.6</v>
      </c>
      <c r="N232" s="15">
        <v>5.6</v>
      </c>
      <c r="O232" s="15">
        <v>5.2</v>
      </c>
    </row>
    <row r="233" spans="1:15" x14ac:dyDescent="0.25">
      <c r="A233" s="21" t="s">
        <v>290</v>
      </c>
      <c r="C233" s="11">
        <v>2088</v>
      </c>
      <c r="D233" s="11">
        <v>1073</v>
      </c>
      <c r="E233" s="11">
        <v>1015</v>
      </c>
      <c r="F233" s="12">
        <f t="shared" si="0"/>
        <v>0</v>
      </c>
      <c r="G233" s="13">
        <f t="shared" si="1"/>
        <v>0</v>
      </c>
      <c r="H233" s="14">
        <f t="shared" si="2"/>
        <v>0</v>
      </c>
      <c r="I233" s="11">
        <v>96.92</v>
      </c>
      <c r="J233" s="15" t="s">
        <v>303</v>
      </c>
      <c r="K233" s="15">
        <v>2.8</v>
      </c>
      <c r="L233" s="16">
        <v>6.7</v>
      </c>
      <c r="M233" s="16">
        <v>6.7</v>
      </c>
      <c r="N233" s="15">
        <v>4.7</v>
      </c>
      <c r="O233" s="15">
        <v>5.2</v>
      </c>
    </row>
    <row r="234" spans="1:15" x14ac:dyDescent="0.25">
      <c r="A234" s="21" t="s">
        <v>56</v>
      </c>
      <c r="C234" s="11">
        <v>9792</v>
      </c>
      <c r="D234" s="11">
        <v>4845</v>
      </c>
      <c r="E234" s="11">
        <v>4947</v>
      </c>
      <c r="F234" s="12">
        <f t="shared" si="0"/>
        <v>0</v>
      </c>
      <c r="G234" s="13">
        <f t="shared" si="1"/>
        <v>0</v>
      </c>
      <c r="H234" s="14">
        <f t="shared" si="2"/>
        <v>0</v>
      </c>
      <c r="I234" s="11">
        <v>95.72</v>
      </c>
      <c r="J234" s="15" t="s">
        <v>303</v>
      </c>
      <c r="K234" s="15" t="s">
        <v>303</v>
      </c>
      <c r="L234" s="16">
        <v>5.7</v>
      </c>
      <c r="M234" s="16">
        <v>6.5</v>
      </c>
      <c r="N234" s="15">
        <v>4.5</v>
      </c>
      <c r="O234" s="15">
        <v>5</v>
      </c>
    </row>
    <row r="235" spans="1:15" x14ac:dyDescent="0.25">
      <c r="A235" s="21" t="s">
        <v>189</v>
      </c>
      <c r="C235" s="11">
        <v>8066</v>
      </c>
      <c r="D235" s="11">
        <v>4263</v>
      </c>
      <c r="E235" s="11">
        <v>3803</v>
      </c>
      <c r="F235" s="12">
        <f t="shared" si="0"/>
        <v>0</v>
      </c>
      <c r="G235" s="13">
        <f t="shared" si="1"/>
        <v>0</v>
      </c>
      <c r="H235" s="14">
        <f t="shared" si="2"/>
        <v>0</v>
      </c>
      <c r="I235" s="11">
        <v>96.58</v>
      </c>
      <c r="J235" s="15">
        <v>3.7</v>
      </c>
      <c r="K235" s="15">
        <v>4</v>
      </c>
      <c r="L235" s="16">
        <v>6.8</v>
      </c>
      <c r="M235" s="16">
        <v>6.4</v>
      </c>
      <c r="N235" s="15">
        <v>5.0999999999999996</v>
      </c>
      <c r="O235" s="15">
        <v>4.4000000000000004</v>
      </c>
    </row>
    <row r="236" spans="1:15" x14ac:dyDescent="0.25">
      <c r="A236" s="21" t="s">
        <v>128</v>
      </c>
      <c r="C236" s="11">
        <v>2576</v>
      </c>
      <c r="D236" s="11">
        <v>1326</v>
      </c>
      <c r="E236" s="11">
        <v>1250</v>
      </c>
      <c r="F236" s="12">
        <f t="shared" si="0"/>
        <v>0</v>
      </c>
      <c r="G236" s="13">
        <f t="shared" si="1"/>
        <v>0</v>
      </c>
      <c r="H236" s="14">
        <f t="shared" si="2"/>
        <v>0</v>
      </c>
      <c r="I236" s="11">
        <v>90.99</v>
      </c>
      <c r="J236" s="15" t="s">
        <v>303</v>
      </c>
      <c r="K236" s="15">
        <v>4.7</v>
      </c>
      <c r="L236" s="16">
        <v>6.8</v>
      </c>
      <c r="M236" s="16">
        <v>5.8</v>
      </c>
      <c r="N236" s="15">
        <v>4.5</v>
      </c>
      <c r="O236" s="15">
        <v>5.2</v>
      </c>
    </row>
    <row r="237" spans="1:15" x14ac:dyDescent="0.25">
      <c r="A237" s="21" t="s">
        <v>293</v>
      </c>
      <c r="C237" s="11">
        <v>1651</v>
      </c>
      <c r="D237" s="11">
        <v>813</v>
      </c>
      <c r="E237" s="11">
        <v>838</v>
      </c>
      <c r="F237" s="12">
        <f t="shared" si="0"/>
        <v>0</v>
      </c>
      <c r="G237" s="13">
        <f t="shared" si="1"/>
        <v>0</v>
      </c>
      <c r="H237" s="14">
        <f t="shared" si="2"/>
        <v>0</v>
      </c>
      <c r="I237" s="11">
        <v>94.48</v>
      </c>
      <c r="J237" s="15">
        <v>5</v>
      </c>
      <c r="K237" s="15" t="s">
        <v>303</v>
      </c>
      <c r="L237" s="16">
        <v>7.2</v>
      </c>
      <c r="M237" s="16">
        <v>6.3</v>
      </c>
      <c r="N237" s="15">
        <v>5</v>
      </c>
      <c r="O237" s="15">
        <v>4.8</v>
      </c>
    </row>
    <row r="238" spans="1:15" x14ac:dyDescent="0.25">
      <c r="A238" s="21" t="s">
        <v>37</v>
      </c>
      <c r="C238" s="11">
        <v>27272</v>
      </c>
      <c r="D238" s="11">
        <v>13483</v>
      </c>
      <c r="E238" s="11">
        <v>13789</v>
      </c>
      <c r="F238" s="12">
        <f t="shared" si="0"/>
        <v>0</v>
      </c>
      <c r="G238" s="13">
        <f t="shared" si="1"/>
        <v>0</v>
      </c>
      <c r="H238" s="14">
        <f t="shared" si="2"/>
        <v>0</v>
      </c>
      <c r="I238" s="11">
        <v>97.26</v>
      </c>
      <c r="J238" s="15" t="s">
        <v>303</v>
      </c>
      <c r="K238" s="15">
        <v>4.2</v>
      </c>
      <c r="L238" s="16">
        <v>6</v>
      </c>
      <c r="M238" s="16">
        <v>5.9</v>
      </c>
      <c r="N238" s="15">
        <v>5.3</v>
      </c>
      <c r="O238" s="15">
        <v>5</v>
      </c>
    </row>
    <row r="239" spans="1:15" x14ac:dyDescent="0.25">
      <c r="A239" s="21" t="s">
        <v>104</v>
      </c>
      <c r="C239" s="11">
        <v>2684</v>
      </c>
      <c r="D239" s="11">
        <v>1391</v>
      </c>
      <c r="E239" s="11">
        <v>1293</v>
      </c>
      <c r="F239" s="12">
        <f t="shared" si="0"/>
        <v>0</v>
      </c>
      <c r="G239" s="13">
        <f t="shared" si="1"/>
        <v>0</v>
      </c>
      <c r="H239" s="14">
        <f t="shared" si="2"/>
        <v>0</v>
      </c>
      <c r="I239" s="11">
        <v>91.03</v>
      </c>
      <c r="J239" s="15" t="s">
        <v>303</v>
      </c>
      <c r="K239" s="15">
        <v>3.8</v>
      </c>
      <c r="L239" s="16">
        <v>6</v>
      </c>
      <c r="M239" s="16">
        <v>6.6</v>
      </c>
      <c r="N239" s="15">
        <v>4.3</v>
      </c>
      <c r="O239" s="15">
        <v>4.5999999999999996</v>
      </c>
    </row>
    <row r="240" spans="1:15" x14ac:dyDescent="0.25">
      <c r="A240" s="21" t="s">
        <v>162</v>
      </c>
      <c r="C240" s="11">
        <v>83277</v>
      </c>
      <c r="D240" s="11">
        <v>41116</v>
      </c>
      <c r="E240" s="11">
        <v>42161</v>
      </c>
      <c r="F240" s="12">
        <f t="shared" si="0"/>
        <v>0</v>
      </c>
      <c r="G240" s="13">
        <f t="shared" si="1"/>
        <v>0</v>
      </c>
      <c r="H240" s="14">
        <f t="shared" si="2"/>
        <v>0</v>
      </c>
      <c r="I240" s="11">
        <v>98.28</v>
      </c>
      <c r="J240" s="15">
        <v>4.3</v>
      </c>
      <c r="K240" s="15">
        <v>4.3</v>
      </c>
      <c r="L240" s="16">
        <v>6.6</v>
      </c>
      <c r="M240" s="16">
        <v>6.9</v>
      </c>
      <c r="N240" s="15">
        <v>5.7</v>
      </c>
      <c r="O240" s="15">
        <v>5.6</v>
      </c>
    </row>
    <row r="241" spans="1:15" x14ac:dyDescent="0.25">
      <c r="A241" s="21" t="s">
        <v>228</v>
      </c>
      <c r="C241" s="11">
        <v>2946</v>
      </c>
      <c r="D241" s="11">
        <v>1502</v>
      </c>
      <c r="E241" s="11">
        <v>1444</v>
      </c>
      <c r="F241" s="12">
        <f t="shared" si="0"/>
        <v>0</v>
      </c>
      <c r="G241" s="13">
        <f t="shared" si="1"/>
        <v>0</v>
      </c>
      <c r="H241" s="14">
        <f t="shared" si="2"/>
        <v>0</v>
      </c>
      <c r="I241" s="11">
        <v>97.77</v>
      </c>
      <c r="J241" s="15" t="s">
        <v>303</v>
      </c>
      <c r="K241" s="15" t="s">
        <v>303</v>
      </c>
      <c r="L241" s="16">
        <v>7.3</v>
      </c>
      <c r="M241" s="16">
        <v>6.5</v>
      </c>
      <c r="N241" s="15">
        <v>5.6</v>
      </c>
      <c r="O241" s="15">
        <v>5</v>
      </c>
    </row>
    <row r="242" spans="1:15" x14ac:dyDescent="0.25">
      <c r="A242" s="21" t="s">
        <v>34</v>
      </c>
      <c r="C242" s="11">
        <v>10282</v>
      </c>
      <c r="D242" s="11">
        <v>5105</v>
      </c>
      <c r="E242" s="11">
        <v>5177</v>
      </c>
      <c r="F242" s="12">
        <f t="shared" si="0"/>
        <v>0</v>
      </c>
      <c r="G242" s="13">
        <f t="shared" si="1"/>
        <v>0</v>
      </c>
      <c r="H242" s="14">
        <f t="shared" si="2"/>
        <v>0</v>
      </c>
      <c r="I242" s="11">
        <v>96.47</v>
      </c>
      <c r="J242" s="15" t="s">
        <v>303</v>
      </c>
      <c r="K242" s="15">
        <v>4.5999999999999996</v>
      </c>
      <c r="L242" s="16">
        <v>6.5</v>
      </c>
      <c r="M242" s="16">
        <v>6</v>
      </c>
      <c r="N242" s="15">
        <v>5.3</v>
      </c>
      <c r="O242" s="15">
        <v>4.8</v>
      </c>
    </row>
    <row r="243" spans="1:15" x14ac:dyDescent="0.25">
      <c r="A243" s="21" t="s">
        <v>27</v>
      </c>
      <c r="C243" s="11">
        <v>6084</v>
      </c>
      <c r="D243" s="11">
        <v>3946</v>
      </c>
      <c r="E243" s="11">
        <v>2138</v>
      </c>
      <c r="F243" s="12">
        <f t="shared" si="0"/>
        <v>0</v>
      </c>
      <c r="G243" s="13">
        <f t="shared" si="1"/>
        <v>0</v>
      </c>
      <c r="H243" s="14">
        <f t="shared" si="2"/>
        <v>0</v>
      </c>
      <c r="I243" s="11">
        <v>92.97</v>
      </c>
      <c r="J243" s="15" t="s">
        <v>303</v>
      </c>
      <c r="K243" s="15" t="s">
        <v>303</v>
      </c>
      <c r="L243" s="16">
        <v>5.6</v>
      </c>
      <c r="M243" s="16">
        <v>6</v>
      </c>
      <c r="N243" s="15">
        <v>4.4000000000000004</v>
      </c>
      <c r="O243" s="15">
        <v>4.0999999999999996</v>
      </c>
    </row>
    <row r="244" spans="1:15" x14ac:dyDescent="0.25">
      <c r="A244" s="21" t="s">
        <v>153</v>
      </c>
      <c r="C244" s="11">
        <v>9226</v>
      </c>
      <c r="D244" s="11">
        <v>4577</v>
      </c>
      <c r="E244" s="11">
        <v>4649</v>
      </c>
      <c r="F244" s="12">
        <f t="shared" si="0"/>
        <v>0</v>
      </c>
      <c r="G244" s="13">
        <f t="shared" si="1"/>
        <v>0</v>
      </c>
      <c r="H244" s="14">
        <f t="shared" si="2"/>
        <v>0</v>
      </c>
      <c r="I244" s="11">
        <v>93.13</v>
      </c>
      <c r="J244" s="15" t="s">
        <v>303</v>
      </c>
      <c r="K244" s="15" t="s">
        <v>303</v>
      </c>
      <c r="L244" s="16">
        <v>6</v>
      </c>
      <c r="M244" s="16">
        <v>6.4</v>
      </c>
      <c r="N244" s="15">
        <v>4.8</v>
      </c>
      <c r="O244" s="15" t="s">
        <v>303</v>
      </c>
    </row>
    <row r="245" spans="1:15" x14ac:dyDescent="0.25">
      <c r="A245" s="21" t="s">
        <v>87</v>
      </c>
      <c r="C245" s="11">
        <v>52674</v>
      </c>
      <c r="D245" s="11">
        <v>26113</v>
      </c>
      <c r="E245" s="11">
        <v>26561</v>
      </c>
      <c r="F245" s="12">
        <f t="shared" si="0"/>
        <v>0</v>
      </c>
      <c r="G245" s="13">
        <f t="shared" si="1"/>
        <v>0</v>
      </c>
      <c r="H245" s="14">
        <f t="shared" si="2"/>
        <v>0</v>
      </c>
      <c r="I245" s="11">
        <v>97.56</v>
      </c>
      <c r="J245" s="15" t="s">
        <v>303</v>
      </c>
      <c r="K245" s="15">
        <v>3.3</v>
      </c>
      <c r="L245" s="16">
        <v>5.8</v>
      </c>
      <c r="M245" s="16">
        <v>5.6</v>
      </c>
      <c r="N245" s="15">
        <v>4.5999999999999996</v>
      </c>
      <c r="O245" s="15">
        <v>4.3</v>
      </c>
    </row>
    <row r="246" spans="1:15" x14ac:dyDescent="0.25">
      <c r="A246" s="21" t="s">
        <v>95</v>
      </c>
      <c r="C246" s="11">
        <v>6295</v>
      </c>
      <c r="D246" s="11">
        <v>3173</v>
      </c>
      <c r="E246" s="11">
        <v>3122</v>
      </c>
      <c r="F246" s="12">
        <f t="shared" si="0"/>
        <v>0</v>
      </c>
      <c r="G246" s="13">
        <f t="shared" si="1"/>
        <v>0</v>
      </c>
      <c r="H246" s="14">
        <f t="shared" si="2"/>
        <v>0</v>
      </c>
      <c r="I246" s="11">
        <v>99.1</v>
      </c>
      <c r="J246" s="15">
        <v>5.4</v>
      </c>
      <c r="K246" s="15">
        <v>5.2</v>
      </c>
      <c r="L246" s="16">
        <v>7</v>
      </c>
      <c r="M246" s="16">
        <v>7.2</v>
      </c>
      <c r="N246" s="15">
        <v>6</v>
      </c>
      <c r="O246" s="15">
        <v>5.9</v>
      </c>
    </row>
    <row r="247" spans="1:15" x14ac:dyDescent="0.25">
      <c r="A247" s="21" t="s">
        <v>284</v>
      </c>
      <c r="C247" s="11">
        <v>32687</v>
      </c>
      <c r="D247" s="11">
        <v>16165</v>
      </c>
      <c r="E247" s="11">
        <v>16522</v>
      </c>
      <c r="F247" s="12">
        <f t="shared" si="0"/>
        <v>0</v>
      </c>
      <c r="G247" s="13">
        <f t="shared" si="1"/>
        <v>0</v>
      </c>
      <c r="H247" s="14">
        <f t="shared" si="2"/>
        <v>0</v>
      </c>
      <c r="I247" s="11">
        <v>97.81</v>
      </c>
      <c r="J247" s="15" t="s">
        <v>303</v>
      </c>
      <c r="K247" s="15">
        <v>3.3</v>
      </c>
      <c r="L247" s="16">
        <v>6.4</v>
      </c>
      <c r="M247" s="16">
        <v>6.1</v>
      </c>
      <c r="N247" s="15">
        <v>4.8</v>
      </c>
      <c r="O247" s="15">
        <v>4.5999999999999996</v>
      </c>
    </row>
    <row r="248" spans="1:15" x14ac:dyDescent="0.25">
      <c r="A248" s="21" t="s">
        <v>249</v>
      </c>
      <c r="C248" s="11">
        <v>4463</v>
      </c>
      <c r="D248" s="11">
        <v>2289</v>
      </c>
      <c r="E248" s="11">
        <v>2174</v>
      </c>
      <c r="F248" s="12">
        <f t="shared" si="0"/>
        <v>0</v>
      </c>
      <c r="G248" s="13">
        <f t="shared" si="1"/>
        <v>0</v>
      </c>
      <c r="H248" s="14">
        <f t="shared" si="2"/>
        <v>0</v>
      </c>
      <c r="I248" s="11">
        <v>96.25</v>
      </c>
      <c r="J248" s="15" t="s">
        <v>303</v>
      </c>
      <c r="K248" s="15">
        <v>3.7</v>
      </c>
      <c r="L248" s="16" t="s">
        <v>303</v>
      </c>
      <c r="M248" s="16" t="s">
        <v>303</v>
      </c>
      <c r="N248" s="15">
        <v>4.3</v>
      </c>
      <c r="O248" s="15" t="s">
        <v>303</v>
      </c>
    </row>
    <row r="249" spans="1:15" x14ac:dyDescent="0.25">
      <c r="A249" s="21" t="s">
        <v>252</v>
      </c>
      <c r="C249" s="11">
        <v>8668</v>
      </c>
      <c r="D249" s="11">
        <v>4366</v>
      </c>
      <c r="E249" s="11">
        <v>4302</v>
      </c>
      <c r="F249" s="12">
        <f t="shared" si="0"/>
        <v>0</v>
      </c>
      <c r="G249" s="13">
        <f t="shared" si="1"/>
        <v>0</v>
      </c>
      <c r="H249" s="14">
        <f t="shared" si="2"/>
        <v>0</v>
      </c>
      <c r="I249" s="11">
        <v>95.29</v>
      </c>
      <c r="J249" s="15" t="s">
        <v>303</v>
      </c>
      <c r="K249" s="15" t="s">
        <v>303</v>
      </c>
      <c r="L249" s="16">
        <v>6.7</v>
      </c>
      <c r="M249" s="16">
        <v>6.5</v>
      </c>
      <c r="N249" s="15">
        <v>5.5</v>
      </c>
      <c r="O249" s="15">
        <v>4.7</v>
      </c>
    </row>
    <row r="250" spans="1:15" x14ac:dyDescent="0.25">
      <c r="A250" s="21" t="s">
        <v>110</v>
      </c>
      <c r="C250" s="11">
        <v>25939</v>
      </c>
      <c r="D250" s="11">
        <v>13136</v>
      </c>
      <c r="E250" s="11">
        <v>12803</v>
      </c>
      <c r="F250" s="12">
        <f t="shared" si="0"/>
        <v>0</v>
      </c>
      <c r="G250" s="13">
        <f t="shared" si="1"/>
        <v>0</v>
      </c>
      <c r="H250" s="14">
        <f t="shared" si="2"/>
        <v>0</v>
      </c>
      <c r="I250" s="11">
        <v>95.43</v>
      </c>
      <c r="J250" s="15">
        <v>3.1</v>
      </c>
      <c r="K250" s="15">
        <v>3.9</v>
      </c>
      <c r="L250" s="16">
        <v>5.3</v>
      </c>
      <c r="M250" s="16">
        <v>5.4</v>
      </c>
      <c r="N250" s="15">
        <v>4.5</v>
      </c>
      <c r="O250" s="15">
        <v>4.5</v>
      </c>
    </row>
    <row r="251" spans="1:15" x14ac:dyDescent="0.25">
      <c r="A251" s="21" t="s">
        <v>16</v>
      </c>
      <c r="C251" s="11">
        <v>270299</v>
      </c>
      <c r="D251" s="11">
        <v>128898</v>
      </c>
      <c r="E251" s="11">
        <v>141401</v>
      </c>
      <c r="F251" s="12">
        <f t="shared" si="0"/>
        <v>0</v>
      </c>
      <c r="G251" s="13">
        <f t="shared" si="1"/>
        <v>0</v>
      </c>
      <c r="H251" s="14">
        <f t="shared" si="2"/>
        <v>0</v>
      </c>
      <c r="I251" s="11">
        <v>98.31</v>
      </c>
      <c r="J251" s="15" t="s">
        <v>303</v>
      </c>
      <c r="K251" s="15">
        <v>3.9</v>
      </c>
      <c r="L251" s="16">
        <v>6.2</v>
      </c>
      <c r="M251" s="16">
        <v>6.1</v>
      </c>
      <c r="N251" s="15">
        <v>5.0999999999999996</v>
      </c>
      <c r="O251" s="15">
        <v>5.0999999999999996</v>
      </c>
    </row>
    <row r="252" spans="1:15" x14ac:dyDescent="0.25">
      <c r="A252" s="21" t="s">
        <v>194</v>
      </c>
      <c r="C252" s="11">
        <v>14167</v>
      </c>
      <c r="D252" s="11">
        <v>7116</v>
      </c>
      <c r="E252" s="11">
        <v>7051</v>
      </c>
      <c r="F252" s="12">
        <f t="shared" si="0"/>
        <v>0</v>
      </c>
      <c r="G252" s="13">
        <f t="shared" si="1"/>
        <v>0</v>
      </c>
      <c r="H252" s="14">
        <f t="shared" si="2"/>
        <v>0</v>
      </c>
      <c r="I252" s="11">
        <v>96.47</v>
      </c>
      <c r="J252" s="15">
        <v>4.2</v>
      </c>
      <c r="K252" s="15">
        <v>4.5</v>
      </c>
      <c r="L252" s="16">
        <v>6.9</v>
      </c>
      <c r="M252" s="16">
        <v>6.7</v>
      </c>
      <c r="N252" s="15">
        <v>5.2</v>
      </c>
      <c r="O252" s="15">
        <v>5.3</v>
      </c>
    </row>
    <row r="253" spans="1:15" x14ac:dyDescent="0.25">
      <c r="A253" s="21" t="s">
        <v>255</v>
      </c>
      <c r="C253" s="11">
        <v>8708</v>
      </c>
      <c r="D253" s="11">
        <v>4463</v>
      </c>
      <c r="E253" s="11">
        <v>4245</v>
      </c>
      <c r="F253" s="12">
        <f t="shared" si="0"/>
        <v>0</v>
      </c>
      <c r="G253" s="13">
        <f t="shared" si="1"/>
        <v>0</v>
      </c>
      <c r="H253" s="14">
        <f t="shared" si="2"/>
        <v>0</v>
      </c>
      <c r="I253" s="11">
        <v>91.33</v>
      </c>
      <c r="J253" s="15">
        <v>4.0999999999999996</v>
      </c>
      <c r="K253" s="15">
        <v>4</v>
      </c>
      <c r="L253" s="16">
        <v>6.1</v>
      </c>
      <c r="M253" s="16">
        <v>5.5</v>
      </c>
      <c r="N253" s="15" t="s">
        <v>303</v>
      </c>
      <c r="O253" s="15" t="s">
        <v>303</v>
      </c>
    </row>
    <row r="254" spans="1:15" x14ac:dyDescent="0.25">
      <c r="A254" s="21" t="s">
        <v>43</v>
      </c>
      <c r="C254" s="11">
        <v>24791</v>
      </c>
      <c r="D254" s="11">
        <v>12284</v>
      </c>
      <c r="E254" s="11">
        <v>12507</v>
      </c>
      <c r="F254" s="12">
        <f t="shared" si="0"/>
        <v>0</v>
      </c>
      <c r="G254" s="13">
        <f t="shared" si="1"/>
        <v>0</v>
      </c>
      <c r="H254" s="14">
        <f t="shared" si="2"/>
        <v>0</v>
      </c>
      <c r="I254" s="11">
        <v>95.33</v>
      </c>
      <c r="J254" s="15" t="s">
        <v>303</v>
      </c>
      <c r="K254" s="15">
        <v>4.2</v>
      </c>
      <c r="L254" s="16">
        <v>6.1</v>
      </c>
      <c r="M254" s="16">
        <v>6.2</v>
      </c>
      <c r="N254" s="15">
        <v>5.0999999999999996</v>
      </c>
      <c r="O254" s="15">
        <v>5.0999999999999996</v>
      </c>
    </row>
    <row r="255" spans="1:15" x14ac:dyDescent="0.25">
      <c r="A255" s="21" t="s">
        <v>150</v>
      </c>
      <c r="C255" s="11">
        <v>13509</v>
      </c>
      <c r="D255" s="11">
        <v>6863</v>
      </c>
      <c r="E255" s="11">
        <v>6646</v>
      </c>
      <c r="F255" s="12">
        <f t="shared" si="0"/>
        <v>0</v>
      </c>
      <c r="G255" s="13">
        <f t="shared" si="1"/>
        <v>0</v>
      </c>
      <c r="H255" s="14">
        <f t="shared" si="2"/>
        <v>0</v>
      </c>
      <c r="I255" s="11">
        <v>97.61</v>
      </c>
      <c r="J255" s="15" t="s">
        <v>303</v>
      </c>
      <c r="K255" s="15">
        <v>4</v>
      </c>
      <c r="L255" s="16">
        <v>6.3</v>
      </c>
      <c r="M255" s="16">
        <v>6.1</v>
      </c>
      <c r="N255" s="15">
        <v>4.8</v>
      </c>
      <c r="O255" s="15" t="s">
        <v>303</v>
      </c>
    </row>
    <row r="256" spans="1:15" x14ac:dyDescent="0.25">
      <c r="A256" s="21" t="s">
        <v>176</v>
      </c>
      <c r="C256" s="11">
        <v>3405</v>
      </c>
      <c r="D256" s="11">
        <v>1750</v>
      </c>
      <c r="E256" s="11">
        <v>1655</v>
      </c>
      <c r="F256" s="12">
        <f t="shared" si="0"/>
        <v>0</v>
      </c>
      <c r="G256" s="13">
        <f t="shared" si="1"/>
        <v>0</v>
      </c>
      <c r="H256" s="14">
        <f t="shared" si="2"/>
        <v>0</v>
      </c>
      <c r="I256" s="11">
        <v>97.69</v>
      </c>
      <c r="J256" s="15" t="s">
        <v>303</v>
      </c>
      <c r="K256" s="15" t="s">
        <v>303</v>
      </c>
      <c r="L256" s="16">
        <v>6.3</v>
      </c>
      <c r="M256" s="16">
        <v>6.8</v>
      </c>
      <c r="N256" s="15" t="s">
        <v>303</v>
      </c>
      <c r="O256" s="15">
        <v>4.9000000000000004</v>
      </c>
    </row>
    <row r="257" spans="1:15" x14ac:dyDescent="0.25">
      <c r="A257" s="21" t="s">
        <v>242</v>
      </c>
      <c r="C257" s="11">
        <v>1781</v>
      </c>
      <c r="D257" s="11">
        <v>919</v>
      </c>
      <c r="E257" s="11">
        <v>862</v>
      </c>
      <c r="F257" s="12">
        <f t="shared" ref="F257:F297" si="3">((B257/69)*12)</f>
        <v>0</v>
      </c>
      <c r="G257" s="13">
        <f t="shared" ref="G257:G296" si="4">(((B257/69)*12)/E257)*1000</f>
        <v>0</v>
      </c>
      <c r="H257" s="14">
        <f t="shared" ref="H257:H297" si="5">(((B257/69)*12)/E257)</f>
        <v>0</v>
      </c>
      <c r="I257" s="11">
        <v>93.92</v>
      </c>
      <c r="J257" s="15">
        <v>5.0999999999999996</v>
      </c>
      <c r="K257" s="15" t="s">
        <v>303</v>
      </c>
      <c r="L257" s="16">
        <v>6.8</v>
      </c>
      <c r="M257" s="16">
        <v>6.8</v>
      </c>
      <c r="N257" s="15">
        <v>5.4</v>
      </c>
      <c r="O257" s="15" t="s">
        <v>303</v>
      </c>
    </row>
    <row r="258" spans="1:15" x14ac:dyDescent="0.25">
      <c r="A258" s="21" t="s">
        <v>25</v>
      </c>
      <c r="C258" s="11">
        <v>44330</v>
      </c>
      <c r="D258" s="11">
        <v>21674</v>
      </c>
      <c r="E258" s="11">
        <v>22656</v>
      </c>
      <c r="F258" s="12">
        <f t="shared" si="3"/>
        <v>0</v>
      </c>
      <c r="G258" s="13">
        <f t="shared" si="4"/>
        <v>0</v>
      </c>
      <c r="H258" s="14">
        <f t="shared" si="5"/>
        <v>0</v>
      </c>
      <c r="I258" s="11">
        <v>96.69</v>
      </c>
      <c r="J258" s="15">
        <v>4.5</v>
      </c>
      <c r="K258" s="15">
        <v>4.7</v>
      </c>
      <c r="L258" s="16">
        <v>6.4</v>
      </c>
      <c r="M258" s="16">
        <v>6.5</v>
      </c>
      <c r="N258" s="15">
        <v>5.0999999999999996</v>
      </c>
      <c r="O258" s="15">
        <v>5.3</v>
      </c>
    </row>
    <row r="259" spans="1:15" x14ac:dyDescent="0.25">
      <c r="A259" s="21" t="s">
        <v>224</v>
      </c>
      <c r="C259" s="11">
        <v>5776</v>
      </c>
      <c r="D259" s="11">
        <v>3460</v>
      </c>
      <c r="E259" s="11">
        <v>2316</v>
      </c>
      <c r="F259" s="12">
        <f t="shared" si="3"/>
        <v>0</v>
      </c>
      <c r="G259" s="13">
        <f t="shared" si="4"/>
        <v>0</v>
      </c>
      <c r="H259" s="14">
        <f t="shared" si="5"/>
        <v>0</v>
      </c>
      <c r="I259" s="11">
        <v>96.45</v>
      </c>
      <c r="J259" s="15" t="s">
        <v>303</v>
      </c>
      <c r="K259" s="15">
        <v>4.8</v>
      </c>
      <c r="L259" s="16">
        <v>6.9</v>
      </c>
      <c r="M259" s="16">
        <v>6.2</v>
      </c>
      <c r="N259" s="15">
        <v>5.8</v>
      </c>
      <c r="O259" s="15">
        <v>5.4</v>
      </c>
    </row>
    <row r="260" spans="1:15" x14ac:dyDescent="0.25">
      <c r="A260" s="21" t="s">
        <v>258</v>
      </c>
      <c r="C260" s="11">
        <v>10265</v>
      </c>
      <c r="D260" s="11">
        <v>5184</v>
      </c>
      <c r="E260" s="11">
        <v>5081</v>
      </c>
      <c r="F260" s="12">
        <f t="shared" si="3"/>
        <v>0</v>
      </c>
      <c r="G260" s="13">
        <f t="shared" si="4"/>
        <v>0</v>
      </c>
      <c r="H260" s="14">
        <f t="shared" si="5"/>
        <v>0</v>
      </c>
      <c r="I260" s="11">
        <v>97.36</v>
      </c>
      <c r="J260" s="15">
        <v>4.4000000000000004</v>
      </c>
      <c r="K260" s="15">
        <v>4.3</v>
      </c>
      <c r="L260" s="16">
        <v>6.6</v>
      </c>
      <c r="M260" s="16">
        <v>7.2</v>
      </c>
      <c r="N260" s="15">
        <v>5.2</v>
      </c>
      <c r="O260" s="15">
        <v>5.0999999999999996</v>
      </c>
    </row>
    <row r="261" spans="1:15" x14ac:dyDescent="0.25">
      <c r="A261" s="21" t="s">
        <v>197</v>
      </c>
      <c r="C261" s="11">
        <v>20061</v>
      </c>
      <c r="D261" s="11">
        <v>10044</v>
      </c>
      <c r="E261" s="11">
        <v>10017</v>
      </c>
      <c r="F261" s="12">
        <f t="shared" si="3"/>
        <v>0</v>
      </c>
      <c r="G261" s="13">
        <f t="shared" si="4"/>
        <v>0</v>
      </c>
      <c r="H261" s="14">
        <f t="shared" si="5"/>
        <v>0</v>
      </c>
      <c r="I261" s="11">
        <v>98.01</v>
      </c>
      <c r="J261" s="15">
        <v>4.5</v>
      </c>
      <c r="K261" s="15">
        <v>4.2</v>
      </c>
      <c r="L261" s="16">
        <v>6.4</v>
      </c>
      <c r="M261" s="16">
        <v>6.4</v>
      </c>
      <c r="N261" s="15">
        <v>5.4</v>
      </c>
      <c r="O261" s="15">
        <v>5.4</v>
      </c>
    </row>
    <row r="262" spans="1:15" x14ac:dyDescent="0.25">
      <c r="A262" s="21" t="s">
        <v>113</v>
      </c>
      <c r="C262" s="11">
        <v>18620</v>
      </c>
      <c r="D262" s="11">
        <v>9410</v>
      </c>
      <c r="E262" s="11">
        <v>9210</v>
      </c>
      <c r="F262" s="12">
        <f t="shared" si="3"/>
        <v>0</v>
      </c>
      <c r="G262" s="13">
        <f t="shared" si="4"/>
        <v>0</v>
      </c>
      <c r="H262" s="14">
        <f t="shared" si="5"/>
        <v>0</v>
      </c>
      <c r="I262" s="11">
        <v>96.13</v>
      </c>
      <c r="J262" s="15">
        <v>4</v>
      </c>
      <c r="K262" s="15">
        <v>4.2</v>
      </c>
      <c r="L262" s="16">
        <v>6.3</v>
      </c>
      <c r="M262" s="16">
        <v>6.5</v>
      </c>
      <c r="N262" s="15">
        <v>5.3</v>
      </c>
      <c r="O262" s="15">
        <v>5.2</v>
      </c>
    </row>
    <row r="263" spans="1:15" x14ac:dyDescent="0.25">
      <c r="A263" s="21" t="s">
        <v>178</v>
      </c>
      <c r="C263" s="11">
        <v>3303</v>
      </c>
      <c r="D263" s="11">
        <v>1647</v>
      </c>
      <c r="E263" s="11">
        <v>1656</v>
      </c>
      <c r="F263" s="12">
        <f t="shared" si="3"/>
        <v>0</v>
      </c>
      <c r="G263" s="13">
        <f t="shared" si="4"/>
        <v>0</v>
      </c>
      <c r="H263" s="14">
        <f t="shared" si="5"/>
        <v>0</v>
      </c>
      <c r="I263" s="11">
        <v>95.93</v>
      </c>
      <c r="J263" s="15" t="s">
        <v>303</v>
      </c>
      <c r="K263" s="15">
        <v>4.5</v>
      </c>
      <c r="L263" s="16">
        <v>6.3</v>
      </c>
      <c r="M263" s="16">
        <v>6.2</v>
      </c>
      <c r="N263" s="15">
        <v>4.5</v>
      </c>
      <c r="O263" s="15">
        <v>4.5999999999999996</v>
      </c>
    </row>
    <row r="264" spans="1:15" x14ac:dyDescent="0.25">
      <c r="A264" s="21" t="s">
        <v>81</v>
      </c>
      <c r="C264" s="11">
        <v>13714</v>
      </c>
      <c r="D264" s="11">
        <v>6775</v>
      </c>
      <c r="E264" s="11">
        <v>6939</v>
      </c>
      <c r="F264" s="12">
        <f t="shared" si="3"/>
        <v>0</v>
      </c>
      <c r="G264" s="13">
        <f t="shared" si="4"/>
        <v>0</v>
      </c>
      <c r="H264" s="14">
        <f t="shared" si="5"/>
        <v>0</v>
      </c>
      <c r="I264" s="11">
        <v>97.02</v>
      </c>
      <c r="J264" s="15" t="s">
        <v>303</v>
      </c>
      <c r="K264" s="15" t="s">
        <v>303</v>
      </c>
      <c r="L264" s="16">
        <v>6</v>
      </c>
      <c r="M264" s="16">
        <v>5.9</v>
      </c>
      <c r="N264" s="15">
        <v>4.5999999999999996</v>
      </c>
      <c r="O264" s="15">
        <v>4.8</v>
      </c>
    </row>
    <row r="265" spans="1:15" x14ac:dyDescent="0.25">
      <c r="A265" s="21" t="s">
        <v>35</v>
      </c>
      <c r="C265" s="11">
        <v>29991</v>
      </c>
      <c r="D265" s="11">
        <v>14596</v>
      </c>
      <c r="E265" s="11">
        <v>15395</v>
      </c>
      <c r="F265" s="12">
        <f t="shared" si="3"/>
        <v>0</v>
      </c>
      <c r="G265" s="13">
        <f t="shared" si="4"/>
        <v>0</v>
      </c>
      <c r="H265" s="14">
        <f t="shared" si="5"/>
        <v>0</v>
      </c>
      <c r="I265" s="11">
        <v>96.76</v>
      </c>
      <c r="J265" s="15" t="s">
        <v>303</v>
      </c>
      <c r="K265" s="15">
        <v>4.3</v>
      </c>
      <c r="L265" s="16">
        <v>6</v>
      </c>
      <c r="M265" s="16">
        <v>5.9</v>
      </c>
      <c r="N265" s="15">
        <v>5.0999999999999996</v>
      </c>
      <c r="O265" s="15">
        <v>4.9000000000000004</v>
      </c>
    </row>
    <row r="266" spans="1:15" x14ac:dyDescent="0.25">
      <c r="A266" s="21" t="s">
        <v>273</v>
      </c>
      <c r="C266" s="11">
        <v>2832</v>
      </c>
      <c r="D266" s="11">
        <v>1441</v>
      </c>
      <c r="E266" s="11">
        <v>1391</v>
      </c>
      <c r="F266" s="12">
        <f t="shared" si="3"/>
        <v>0</v>
      </c>
      <c r="G266" s="13">
        <f t="shared" si="4"/>
        <v>0</v>
      </c>
      <c r="H266" s="14">
        <f t="shared" si="5"/>
        <v>0</v>
      </c>
      <c r="I266" s="11">
        <v>92.62</v>
      </c>
      <c r="J266" s="15" t="s">
        <v>303</v>
      </c>
      <c r="K266" s="15" t="s">
        <v>303</v>
      </c>
      <c r="L266" s="16">
        <v>6.4</v>
      </c>
      <c r="M266" s="16">
        <v>6.6</v>
      </c>
      <c r="N266" s="15" t="s">
        <v>303</v>
      </c>
      <c r="O266" s="15">
        <v>5.0999999999999996</v>
      </c>
    </row>
    <row r="267" spans="1:15" x14ac:dyDescent="0.25">
      <c r="A267" s="21" t="s">
        <v>223</v>
      </c>
      <c r="C267" s="11">
        <v>18310</v>
      </c>
      <c r="D267" s="11">
        <v>9162</v>
      </c>
      <c r="E267" s="11">
        <v>9148</v>
      </c>
      <c r="F267" s="12">
        <f t="shared" si="3"/>
        <v>0</v>
      </c>
      <c r="G267" s="13">
        <f t="shared" si="4"/>
        <v>0</v>
      </c>
      <c r="H267" s="14">
        <f t="shared" si="5"/>
        <v>0</v>
      </c>
      <c r="I267" s="11">
        <v>97.07</v>
      </c>
      <c r="J267" s="15" t="s">
        <v>303</v>
      </c>
      <c r="K267" s="15" t="s">
        <v>303</v>
      </c>
      <c r="L267" s="16">
        <v>6.3</v>
      </c>
      <c r="M267" s="16">
        <v>6.2</v>
      </c>
      <c r="N267" s="15">
        <v>5.0999999999999996</v>
      </c>
      <c r="O267" s="15">
        <v>5.3</v>
      </c>
    </row>
    <row r="268" spans="1:15" x14ac:dyDescent="0.25">
      <c r="A268" s="21" t="s">
        <v>166</v>
      </c>
      <c r="C268" s="11">
        <v>8143</v>
      </c>
      <c r="D268" s="11">
        <v>4147</v>
      </c>
      <c r="E268" s="11">
        <v>3996</v>
      </c>
      <c r="F268" s="12">
        <f t="shared" si="3"/>
        <v>0</v>
      </c>
      <c r="G268" s="13">
        <f t="shared" si="4"/>
        <v>0</v>
      </c>
      <c r="H268" s="14">
        <f t="shared" si="5"/>
        <v>0</v>
      </c>
      <c r="I268" s="11">
        <v>97.38</v>
      </c>
      <c r="J268" s="15" t="s">
        <v>303</v>
      </c>
      <c r="K268" s="15" t="s">
        <v>303</v>
      </c>
      <c r="L268" s="16">
        <v>6.2</v>
      </c>
      <c r="M268" s="16">
        <v>6.4</v>
      </c>
      <c r="N268" s="15">
        <v>4.9000000000000004</v>
      </c>
      <c r="O268" s="15">
        <v>4.8</v>
      </c>
    </row>
    <row r="269" spans="1:15" x14ac:dyDescent="0.25">
      <c r="A269" s="21" t="s">
        <v>235</v>
      </c>
      <c r="C269" s="11">
        <v>2329</v>
      </c>
      <c r="D269" s="11">
        <v>1176</v>
      </c>
      <c r="E269" s="11">
        <v>1153</v>
      </c>
      <c r="F269" s="12">
        <f t="shared" si="3"/>
        <v>0</v>
      </c>
      <c r="G269" s="13">
        <f t="shared" si="4"/>
        <v>0</v>
      </c>
      <c r="H269" s="14">
        <f t="shared" si="5"/>
        <v>0</v>
      </c>
      <c r="I269" s="11">
        <v>95.37</v>
      </c>
      <c r="J269" s="15">
        <v>4.0999999999999996</v>
      </c>
      <c r="K269" s="15">
        <v>4.2</v>
      </c>
      <c r="L269" s="16">
        <v>6.6</v>
      </c>
      <c r="M269" s="16">
        <v>6.8</v>
      </c>
      <c r="N269" s="15" t="s">
        <v>303</v>
      </c>
      <c r="O269" s="15">
        <v>5.4</v>
      </c>
    </row>
    <row r="270" spans="1:15" x14ac:dyDescent="0.25">
      <c r="A270" s="21" t="s">
        <v>49</v>
      </c>
      <c r="C270" s="11">
        <v>51592</v>
      </c>
      <c r="D270" s="11">
        <v>25706</v>
      </c>
      <c r="E270" s="11">
        <v>25886</v>
      </c>
      <c r="F270" s="12">
        <f t="shared" si="3"/>
        <v>0</v>
      </c>
      <c r="G270" s="13">
        <f t="shared" si="4"/>
        <v>0</v>
      </c>
      <c r="H270" s="14">
        <f t="shared" si="5"/>
        <v>0</v>
      </c>
      <c r="I270" s="11">
        <v>96.84</v>
      </c>
      <c r="J270" s="15">
        <v>3.4</v>
      </c>
      <c r="K270" s="15">
        <v>3.1</v>
      </c>
      <c r="L270" s="16">
        <v>5.7</v>
      </c>
      <c r="M270" s="16">
        <v>5.6</v>
      </c>
      <c r="N270" s="15">
        <v>4.4000000000000004</v>
      </c>
      <c r="O270" s="15">
        <v>4.3</v>
      </c>
    </row>
    <row r="271" spans="1:15" x14ac:dyDescent="0.25">
      <c r="A271" s="21" t="s">
        <v>212</v>
      </c>
      <c r="C271" s="11">
        <v>5386</v>
      </c>
      <c r="D271" s="11">
        <v>2765</v>
      </c>
      <c r="E271" s="11">
        <v>2621</v>
      </c>
      <c r="F271" s="12">
        <f t="shared" si="3"/>
        <v>0</v>
      </c>
      <c r="G271" s="13">
        <f t="shared" si="4"/>
        <v>0</v>
      </c>
      <c r="H271" s="14">
        <f t="shared" si="5"/>
        <v>0</v>
      </c>
      <c r="I271" s="11">
        <v>94.13</v>
      </c>
      <c r="J271" s="15" t="s">
        <v>303</v>
      </c>
      <c r="K271" s="15" t="s">
        <v>303</v>
      </c>
      <c r="L271" s="16" t="s">
        <v>303</v>
      </c>
      <c r="M271" s="16">
        <v>5.9</v>
      </c>
      <c r="N271" s="15">
        <v>4.7</v>
      </c>
      <c r="O271" s="15">
        <v>4.5</v>
      </c>
    </row>
    <row r="272" spans="1:15" x14ac:dyDescent="0.25">
      <c r="A272" s="21" t="s">
        <v>53</v>
      </c>
      <c r="C272" s="11">
        <v>46099</v>
      </c>
      <c r="D272" s="11">
        <v>22549</v>
      </c>
      <c r="E272" s="11">
        <v>23550</v>
      </c>
      <c r="F272" s="12">
        <f t="shared" si="3"/>
        <v>0</v>
      </c>
      <c r="G272" s="13">
        <f t="shared" si="4"/>
        <v>0</v>
      </c>
      <c r="H272" s="14">
        <f t="shared" si="5"/>
        <v>0</v>
      </c>
      <c r="I272" s="11">
        <v>98.57</v>
      </c>
      <c r="J272" s="15" t="s">
        <v>303</v>
      </c>
      <c r="K272" s="15">
        <v>4.2</v>
      </c>
      <c r="L272" s="16">
        <v>6.7</v>
      </c>
      <c r="M272" s="16">
        <v>6.6</v>
      </c>
      <c r="N272" s="15">
        <v>5.6</v>
      </c>
      <c r="O272" s="15">
        <v>5.7</v>
      </c>
    </row>
    <row r="273" spans="1:15" x14ac:dyDescent="0.25">
      <c r="A273" s="21" t="s">
        <v>23</v>
      </c>
      <c r="C273" s="11">
        <v>7342</v>
      </c>
      <c r="D273" s="11">
        <v>3783</v>
      </c>
      <c r="E273" s="11">
        <v>3559</v>
      </c>
      <c r="F273" s="12">
        <f t="shared" si="3"/>
        <v>0</v>
      </c>
      <c r="G273" s="13">
        <f t="shared" si="4"/>
        <v>0</v>
      </c>
      <c r="H273" s="14">
        <f t="shared" si="5"/>
        <v>0</v>
      </c>
      <c r="I273" s="11">
        <v>92.55</v>
      </c>
      <c r="J273" s="15" t="s">
        <v>303</v>
      </c>
      <c r="K273" s="15" t="s">
        <v>303</v>
      </c>
      <c r="L273" s="16">
        <v>6.4</v>
      </c>
      <c r="M273" s="16">
        <v>6.2</v>
      </c>
      <c r="N273" s="15">
        <v>4.9000000000000004</v>
      </c>
      <c r="O273" s="15" t="s">
        <v>303</v>
      </c>
    </row>
    <row r="274" spans="1:15" x14ac:dyDescent="0.25">
      <c r="A274" s="21" t="s">
        <v>14</v>
      </c>
      <c r="C274" s="11">
        <v>19746</v>
      </c>
      <c r="D274" s="11">
        <v>9906</v>
      </c>
      <c r="E274" s="11">
        <v>9840</v>
      </c>
      <c r="F274" s="12">
        <f t="shared" si="3"/>
        <v>0</v>
      </c>
      <c r="G274" s="13">
        <f t="shared" si="4"/>
        <v>0</v>
      </c>
      <c r="H274" s="14">
        <f t="shared" si="5"/>
        <v>0</v>
      </c>
      <c r="I274" s="11">
        <v>95.56</v>
      </c>
      <c r="J274" s="15">
        <v>3.1</v>
      </c>
      <c r="K274" s="15">
        <v>3.4</v>
      </c>
      <c r="L274" s="16">
        <v>5.2</v>
      </c>
      <c r="M274" s="16">
        <v>5.6</v>
      </c>
      <c r="N274" s="15">
        <v>4.0999999999999996</v>
      </c>
      <c r="O274" s="15">
        <v>4.5</v>
      </c>
    </row>
    <row r="275" spans="1:15" x14ac:dyDescent="0.25">
      <c r="A275" s="21" t="s">
        <v>188</v>
      </c>
      <c r="C275" s="11">
        <v>3782</v>
      </c>
      <c r="D275" s="11">
        <v>1852</v>
      </c>
      <c r="E275" s="11">
        <v>1930</v>
      </c>
      <c r="F275" s="12">
        <f t="shared" si="3"/>
        <v>0</v>
      </c>
      <c r="G275" s="13">
        <f t="shared" si="4"/>
        <v>0</v>
      </c>
      <c r="H275" s="14">
        <f t="shared" si="5"/>
        <v>0</v>
      </c>
      <c r="I275" s="11">
        <v>97.65</v>
      </c>
      <c r="J275" s="15" t="s">
        <v>303</v>
      </c>
      <c r="K275" s="15">
        <v>4.8</v>
      </c>
      <c r="L275" s="16">
        <v>6.3</v>
      </c>
      <c r="M275" s="16">
        <v>6.6</v>
      </c>
      <c r="N275" s="15" t="s">
        <v>303</v>
      </c>
      <c r="O275" s="15">
        <v>5.3</v>
      </c>
    </row>
    <row r="276" spans="1:15" x14ac:dyDescent="0.25">
      <c r="A276" s="21" t="s">
        <v>119</v>
      </c>
      <c r="C276" s="11">
        <v>7362</v>
      </c>
      <c r="D276" s="11">
        <v>3712</v>
      </c>
      <c r="E276" s="11">
        <v>3650</v>
      </c>
      <c r="F276" s="12">
        <f t="shared" si="3"/>
        <v>0</v>
      </c>
      <c r="G276" s="13">
        <f t="shared" si="4"/>
        <v>0</v>
      </c>
      <c r="H276" s="14">
        <f t="shared" si="5"/>
        <v>0</v>
      </c>
      <c r="I276" s="11">
        <v>96.42</v>
      </c>
      <c r="J276" s="15" t="s">
        <v>303</v>
      </c>
      <c r="K276" s="15">
        <v>4.0999999999999996</v>
      </c>
      <c r="L276" s="16">
        <v>6.4</v>
      </c>
      <c r="M276" s="16">
        <v>6.5</v>
      </c>
      <c r="N276" s="15" t="s">
        <v>303</v>
      </c>
      <c r="O276" s="15" t="s">
        <v>303</v>
      </c>
    </row>
    <row r="277" spans="1:15" x14ac:dyDescent="0.25">
      <c r="A277" s="21" t="s">
        <v>164</v>
      </c>
      <c r="C277" s="11">
        <v>8787</v>
      </c>
      <c r="D277" s="11">
        <v>4357</v>
      </c>
      <c r="E277" s="11">
        <v>4430</v>
      </c>
      <c r="F277" s="12">
        <f t="shared" si="3"/>
        <v>0</v>
      </c>
      <c r="G277" s="13">
        <f t="shared" si="4"/>
        <v>0</v>
      </c>
      <c r="H277" s="14">
        <f t="shared" si="5"/>
        <v>0</v>
      </c>
      <c r="I277" s="11">
        <v>97.16</v>
      </c>
      <c r="J277" s="15" t="s">
        <v>303</v>
      </c>
      <c r="K277" s="15">
        <v>3.6</v>
      </c>
      <c r="L277" s="16">
        <v>6.3</v>
      </c>
      <c r="M277" s="16">
        <v>6.7</v>
      </c>
      <c r="N277" s="15">
        <v>5.5</v>
      </c>
      <c r="O277" s="15">
        <v>5</v>
      </c>
    </row>
    <row r="278" spans="1:15" x14ac:dyDescent="0.25">
      <c r="A278" s="21" t="s">
        <v>250</v>
      </c>
      <c r="C278" s="11">
        <v>7274</v>
      </c>
      <c r="D278" s="11">
        <v>3615</v>
      </c>
      <c r="E278" s="11">
        <v>3659</v>
      </c>
      <c r="F278" s="12">
        <f t="shared" si="3"/>
        <v>0</v>
      </c>
      <c r="G278" s="13">
        <f t="shared" si="4"/>
        <v>0</v>
      </c>
      <c r="H278" s="14">
        <f t="shared" si="5"/>
        <v>0</v>
      </c>
      <c r="I278" s="11">
        <v>96.7</v>
      </c>
      <c r="J278" s="15" t="s">
        <v>303</v>
      </c>
      <c r="K278" s="15" t="s">
        <v>303</v>
      </c>
      <c r="L278" s="16">
        <v>6.6</v>
      </c>
      <c r="M278" s="16">
        <v>6.2</v>
      </c>
      <c r="N278" s="15" t="s">
        <v>303</v>
      </c>
      <c r="O278" s="15" t="s">
        <v>303</v>
      </c>
    </row>
    <row r="279" spans="1:15" x14ac:dyDescent="0.25">
      <c r="A279" s="21" t="s">
        <v>50</v>
      </c>
      <c r="C279" s="11">
        <v>110088</v>
      </c>
      <c r="D279" s="11">
        <v>53266</v>
      </c>
      <c r="E279" s="11">
        <v>56822</v>
      </c>
      <c r="F279" s="12">
        <f t="shared" si="3"/>
        <v>0</v>
      </c>
      <c r="G279" s="13">
        <f t="shared" si="4"/>
        <v>0</v>
      </c>
      <c r="H279" s="14">
        <f t="shared" si="5"/>
        <v>0</v>
      </c>
      <c r="I279" s="11">
        <v>97.88</v>
      </c>
      <c r="J279" s="15" t="s">
        <v>303</v>
      </c>
      <c r="K279" s="15">
        <v>4.0999999999999996</v>
      </c>
      <c r="L279" s="16">
        <v>6.1</v>
      </c>
      <c r="M279" s="16">
        <v>6</v>
      </c>
      <c r="N279" s="15">
        <v>4.8</v>
      </c>
      <c r="O279" s="15">
        <v>4.5</v>
      </c>
    </row>
    <row r="280" spans="1:15" x14ac:dyDescent="0.25">
      <c r="A280" s="21" t="s">
        <v>245</v>
      </c>
      <c r="C280" s="11">
        <v>4916</v>
      </c>
      <c r="D280" s="11">
        <v>2516</v>
      </c>
      <c r="E280" s="11">
        <v>2400</v>
      </c>
      <c r="F280" s="12">
        <f t="shared" si="3"/>
        <v>0</v>
      </c>
      <c r="G280" s="13">
        <f t="shared" si="4"/>
        <v>0</v>
      </c>
      <c r="H280" s="14">
        <f t="shared" si="5"/>
        <v>0</v>
      </c>
      <c r="I280" s="11">
        <v>97.37</v>
      </c>
      <c r="J280" s="15">
        <v>5.0999999999999996</v>
      </c>
      <c r="K280" s="15">
        <v>4.9000000000000004</v>
      </c>
      <c r="L280" s="16">
        <v>6.4</v>
      </c>
      <c r="M280" s="16">
        <v>7</v>
      </c>
      <c r="N280" s="15">
        <v>5.5</v>
      </c>
      <c r="O280" s="15">
        <v>5.9</v>
      </c>
    </row>
    <row r="281" spans="1:15" x14ac:dyDescent="0.25">
      <c r="A281" s="21" t="s">
        <v>161</v>
      </c>
      <c r="C281" s="11">
        <v>13043</v>
      </c>
      <c r="D281" s="11">
        <v>6382</v>
      </c>
      <c r="E281" s="11">
        <v>6661</v>
      </c>
      <c r="F281" s="12">
        <f t="shared" si="3"/>
        <v>0</v>
      </c>
      <c r="G281" s="13">
        <f t="shared" si="4"/>
        <v>0</v>
      </c>
      <c r="H281" s="14">
        <f t="shared" si="5"/>
        <v>0</v>
      </c>
      <c r="I281" s="11">
        <v>96.82</v>
      </c>
      <c r="J281" s="15" t="s">
        <v>303</v>
      </c>
      <c r="K281" s="15" t="s">
        <v>303</v>
      </c>
      <c r="L281" s="16">
        <v>6.4</v>
      </c>
      <c r="M281" s="16">
        <v>6</v>
      </c>
      <c r="N281" s="15">
        <v>5.2</v>
      </c>
      <c r="O281" s="15">
        <v>4.7</v>
      </c>
    </row>
    <row r="282" spans="1:15" x14ac:dyDescent="0.25">
      <c r="A282" s="21" t="s">
        <v>299</v>
      </c>
      <c r="C282" s="11">
        <v>2774</v>
      </c>
      <c r="D282" s="11">
        <v>1420</v>
      </c>
      <c r="E282" s="11">
        <v>1354</v>
      </c>
      <c r="F282" s="12">
        <f t="shared" si="3"/>
        <v>0</v>
      </c>
      <c r="G282" s="13">
        <f t="shared" si="4"/>
        <v>0</v>
      </c>
      <c r="H282" s="14">
        <f t="shared" si="5"/>
        <v>0</v>
      </c>
      <c r="I282" s="11">
        <v>93.71</v>
      </c>
      <c r="J282" s="15">
        <v>4</v>
      </c>
      <c r="K282" s="15" t="s">
        <v>303</v>
      </c>
      <c r="L282" s="16">
        <v>6</v>
      </c>
      <c r="M282" s="16">
        <v>6.3</v>
      </c>
      <c r="N282" s="15">
        <v>5.2</v>
      </c>
      <c r="O282" s="15" t="s">
        <v>303</v>
      </c>
    </row>
    <row r="283" spans="1:15" x14ac:dyDescent="0.25">
      <c r="A283" s="21" t="s">
        <v>159</v>
      </c>
      <c r="C283" s="11">
        <v>10834</v>
      </c>
      <c r="D283" s="11">
        <v>5435</v>
      </c>
      <c r="E283" s="11">
        <v>5399</v>
      </c>
      <c r="F283" s="12">
        <f t="shared" si="3"/>
        <v>0</v>
      </c>
      <c r="G283" s="13">
        <f t="shared" si="4"/>
        <v>0</v>
      </c>
      <c r="H283" s="14">
        <f t="shared" si="5"/>
        <v>0</v>
      </c>
      <c r="I283" s="11">
        <v>94.8</v>
      </c>
      <c r="J283" s="15">
        <v>3.3</v>
      </c>
      <c r="K283" s="15">
        <v>3.8</v>
      </c>
      <c r="L283" s="16">
        <v>5.6</v>
      </c>
      <c r="M283" s="16">
        <v>5.9</v>
      </c>
      <c r="N283" s="15">
        <v>3.8</v>
      </c>
      <c r="O283" s="15">
        <v>4</v>
      </c>
    </row>
    <row r="284" spans="1:15" x14ac:dyDescent="0.25">
      <c r="A284" s="21" t="s">
        <v>83</v>
      </c>
      <c r="C284" s="11">
        <v>2656</v>
      </c>
      <c r="D284" s="11">
        <v>1381</v>
      </c>
      <c r="E284" s="11">
        <v>1275</v>
      </c>
      <c r="F284" s="12">
        <f t="shared" si="3"/>
        <v>0</v>
      </c>
      <c r="G284" s="13">
        <f t="shared" si="4"/>
        <v>0</v>
      </c>
      <c r="H284" s="14">
        <f t="shared" si="5"/>
        <v>0</v>
      </c>
      <c r="I284" s="11">
        <v>94.31</v>
      </c>
      <c r="J284" s="15">
        <v>2.8</v>
      </c>
      <c r="K284" s="15" t="s">
        <v>303</v>
      </c>
      <c r="L284" s="16">
        <v>5.2</v>
      </c>
      <c r="M284" s="16">
        <v>5.8</v>
      </c>
      <c r="N284" s="15" t="s">
        <v>303</v>
      </c>
      <c r="O284" s="15">
        <v>4.2</v>
      </c>
    </row>
    <row r="285" spans="1:15" x14ac:dyDescent="0.25">
      <c r="A285" s="21" t="s">
        <v>55</v>
      </c>
      <c r="C285" s="11">
        <v>20919</v>
      </c>
      <c r="D285" s="11">
        <v>10144</v>
      </c>
      <c r="E285" s="11">
        <v>10775</v>
      </c>
      <c r="F285" s="12">
        <f t="shared" si="3"/>
        <v>0</v>
      </c>
      <c r="G285" s="13">
        <f t="shared" si="4"/>
        <v>0</v>
      </c>
      <c r="H285" s="14">
        <f t="shared" si="5"/>
        <v>0</v>
      </c>
      <c r="I285" s="11">
        <v>97.67</v>
      </c>
      <c r="J285" s="15">
        <v>4.0999999999999996</v>
      </c>
      <c r="K285" s="15">
        <v>3.6</v>
      </c>
      <c r="L285" s="16">
        <v>7</v>
      </c>
      <c r="M285" s="16">
        <v>6.4</v>
      </c>
      <c r="N285" s="15">
        <v>5.3</v>
      </c>
      <c r="O285" s="15">
        <v>5.2</v>
      </c>
    </row>
    <row r="286" spans="1:15" x14ac:dyDescent="0.25">
      <c r="A286" s="21" t="s">
        <v>239</v>
      </c>
      <c r="C286" s="11">
        <v>3634</v>
      </c>
      <c r="D286" s="11">
        <v>1851</v>
      </c>
      <c r="E286" s="11">
        <v>1783</v>
      </c>
      <c r="F286" s="12">
        <f t="shared" si="3"/>
        <v>0</v>
      </c>
      <c r="G286" s="13">
        <f t="shared" si="4"/>
        <v>0</v>
      </c>
      <c r="H286" s="14">
        <f t="shared" si="5"/>
        <v>0</v>
      </c>
      <c r="I286" s="11">
        <v>94.89</v>
      </c>
      <c r="J286" s="15">
        <v>3.7</v>
      </c>
      <c r="K286" s="15">
        <v>3.5</v>
      </c>
      <c r="L286" s="16">
        <v>6.8</v>
      </c>
      <c r="M286" s="16">
        <v>6</v>
      </c>
      <c r="N286" s="15">
        <v>4.7</v>
      </c>
      <c r="O286" s="15">
        <v>4.4000000000000004</v>
      </c>
    </row>
    <row r="287" spans="1:15" x14ac:dyDescent="0.25">
      <c r="A287" s="21" t="s">
        <v>285</v>
      </c>
      <c r="C287" s="11">
        <v>2627</v>
      </c>
      <c r="D287" s="11">
        <v>1351</v>
      </c>
      <c r="E287" s="11">
        <v>1276</v>
      </c>
      <c r="F287" s="12">
        <f t="shared" si="3"/>
        <v>0</v>
      </c>
      <c r="G287" s="13">
        <f t="shared" si="4"/>
        <v>0</v>
      </c>
      <c r="H287" s="14">
        <f t="shared" si="5"/>
        <v>0</v>
      </c>
      <c r="I287" s="11">
        <v>94.22</v>
      </c>
      <c r="J287" s="15" t="s">
        <v>303</v>
      </c>
      <c r="K287" s="15" t="s">
        <v>303</v>
      </c>
      <c r="L287" s="16">
        <v>6.8</v>
      </c>
      <c r="M287" s="16">
        <v>6.2</v>
      </c>
      <c r="N287" s="15" t="s">
        <v>303</v>
      </c>
      <c r="O287" s="15">
        <v>4.4000000000000004</v>
      </c>
    </row>
    <row r="288" spans="1:15" x14ac:dyDescent="0.25">
      <c r="A288" s="21" t="s">
        <v>99</v>
      </c>
      <c r="C288" s="11">
        <v>4576</v>
      </c>
      <c r="D288" s="11">
        <v>2313</v>
      </c>
      <c r="E288" s="11">
        <v>2263</v>
      </c>
      <c r="F288" s="12">
        <f t="shared" si="3"/>
        <v>0</v>
      </c>
      <c r="G288" s="13">
        <f t="shared" si="4"/>
        <v>0</v>
      </c>
      <c r="H288" s="14">
        <f t="shared" si="5"/>
        <v>0</v>
      </c>
      <c r="I288" s="11">
        <v>94.55</v>
      </c>
      <c r="J288" s="15">
        <v>3.6</v>
      </c>
      <c r="K288" s="15">
        <v>3.1</v>
      </c>
      <c r="L288" s="16">
        <v>6.1</v>
      </c>
      <c r="M288" s="16">
        <v>6.2</v>
      </c>
      <c r="N288" s="15">
        <v>4.5999999999999996</v>
      </c>
      <c r="O288" s="15">
        <v>4.7</v>
      </c>
    </row>
    <row r="289" spans="1:15" x14ac:dyDescent="0.25">
      <c r="A289" s="21" t="s">
        <v>73</v>
      </c>
      <c r="C289" s="11">
        <v>6189</v>
      </c>
      <c r="D289" s="11">
        <v>3186</v>
      </c>
      <c r="E289" s="11">
        <v>3003</v>
      </c>
      <c r="F289" s="12">
        <f t="shared" si="3"/>
        <v>0</v>
      </c>
      <c r="G289" s="13">
        <f t="shared" si="4"/>
        <v>0</v>
      </c>
      <c r="H289" s="14">
        <f t="shared" si="5"/>
        <v>0</v>
      </c>
      <c r="I289" s="11">
        <v>96.26</v>
      </c>
      <c r="J289" s="15" t="s">
        <v>303</v>
      </c>
      <c r="K289" s="15">
        <v>4.5</v>
      </c>
      <c r="L289" s="16">
        <v>6.6</v>
      </c>
      <c r="M289" s="16">
        <v>7.1</v>
      </c>
      <c r="N289" s="15">
        <v>5.2</v>
      </c>
      <c r="O289" s="15">
        <v>5.5</v>
      </c>
    </row>
    <row r="290" spans="1:15" x14ac:dyDescent="0.25">
      <c r="A290" s="21" t="s">
        <v>24</v>
      </c>
      <c r="C290" s="11">
        <v>55466</v>
      </c>
      <c r="D290" s="11">
        <v>27426</v>
      </c>
      <c r="E290" s="11">
        <v>28040</v>
      </c>
      <c r="F290" s="12">
        <f t="shared" si="3"/>
        <v>0</v>
      </c>
      <c r="G290" s="13">
        <f t="shared" si="4"/>
        <v>0</v>
      </c>
      <c r="H290" s="14">
        <f t="shared" si="5"/>
        <v>0</v>
      </c>
      <c r="I290" s="11">
        <v>97.57</v>
      </c>
      <c r="J290" s="15">
        <v>4</v>
      </c>
      <c r="K290" s="15">
        <v>3.9</v>
      </c>
      <c r="L290" s="16">
        <v>6.1</v>
      </c>
      <c r="M290" s="16">
        <v>6.4</v>
      </c>
      <c r="N290" s="15">
        <v>5</v>
      </c>
      <c r="O290" s="15">
        <v>5.0999999999999996</v>
      </c>
    </row>
    <row r="291" spans="1:15" x14ac:dyDescent="0.25">
      <c r="A291" s="21" t="s">
        <v>143</v>
      </c>
      <c r="C291" s="11">
        <v>5370</v>
      </c>
      <c r="D291" s="11">
        <v>2808</v>
      </c>
      <c r="E291" s="11">
        <v>2562</v>
      </c>
      <c r="F291" s="12">
        <f t="shared" si="3"/>
        <v>0</v>
      </c>
      <c r="G291" s="13">
        <f t="shared" si="4"/>
        <v>0</v>
      </c>
      <c r="H291" s="14">
        <f t="shared" si="5"/>
        <v>0</v>
      </c>
      <c r="I291" s="11">
        <v>96</v>
      </c>
      <c r="J291" s="15">
        <v>4.3</v>
      </c>
      <c r="K291" s="15" t="s">
        <v>303</v>
      </c>
      <c r="L291" s="16">
        <v>5.8</v>
      </c>
      <c r="M291" s="16">
        <v>6.6</v>
      </c>
      <c r="N291" s="15">
        <v>4.8</v>
      </c>
      <c r="O291" s="15">
        <v>5</v>
      </c>
    </row>
    <row r="292" spans="1:15" x14ac:dyDescent="0.25">
      <c r="A292" s="21" t="s">
        <v>227</v>
      </c>
      <c r="C292" s="11">
        <v>4255</v>
      </c>
      <c r="D292" s="11">
        <v>2174</v>
      </c>
      <c r="E292" s="11">
        <v>2081</v>
      </c>
      <c r="F292" s="12">
        <f t="shared" si="3"/>
        <v>0</v>
      </c>
      <c r="G292" s="13">
        <f t="shared" si="4"/>
        <v>0</v>
      </c>
      <c r="H292" s="14">
        <f t="shared" si="5"/>
        <v>0</v>
      </c>
      <c r="I292" s="11">
        <v>96.24</v>
      </c>
      <c r="J292" s="15" t="s">
        <v>303</v>
      </c>
      <c r="K292" s="15">
        <v>4.3</v>
      </c>
      <c r="L292" s="16">
        <v>5.9</v>
      </c>
      <c r="M292" s="16">
        <v>6.4</v>
      </c>
      <c r="N292" s="15">
        <v>4.8</v>
      </c>
      <c r="O292" s="15">
        <v>5.3</v>
      </c>
    </row>
    <row r="293" spans="1:15" x14ac:dyDescent="0.25">
      <c r="A293" s="21" t="s">
        <v>77</v>
      </c>
      <c r="C293" s="11">
        <v>51607</v>
      </c>
      <c r="D293" s="11">
        <v>25261</v>
      </c>
      <c r="E293" s="11">
        <v>26346</v>
      </c>
      <c r="F293" s="12">
        <f t="shared" si="3"/>
        <v>0</v>
      </c>
      <c r="G293" s="13">
        <f t="shared" si="4"/>
        <v>0</v>
      </c>
      <c r="H293" s="14">
        <f t="shared" si="5"/>
        <v>0</v>
      </c>
      <c r="I293" s="11">
        <v>96.59</v>
      </c>
      <c r="J293" s="15">
        <v>3.7</v>
      </c>
      <c r="K293" s="15">
        <v>3.9</v>
      </c>
      <c r="L293" s="16">
        <v>6.4</v>
      </c>
      <c r="M293" s="16">
        <v>6.5</v>
      </c>
      <c r="N293" s="15">
        <v>5</v>
      </c>
      <c r="O293" s="15">
        <v>4.8</v>
      </c>
    </row>
    <row r="294" spans="1:15" x14ac:dyDescent="0.25">
      <c r="A294" s="21" t="s">
        <v>283</v>
      </c>
      <c r="C294" s="11">
        <v>3653</v>
      </c>
      <c r="D294" s="11">
        <v>1891</v>
      </c>
      <c r="E294" s="11">
        <v>1762</v>
      </c>
      <c r="F294" s="12">
        <f t="shared" si="3"/>
        <v>0</v>
      </c>
      <c r="G294" s="13">
        <f t="shared" si="4"/>
        <v>0</v>
      </c>
      <c r="H294" s="14">
        <f t="shared" si="5"/>
        <v>0</v>
      </c>
      <c r="I294" s="11">
        <v>95.25</v>
      </c>
      <c r="J294" s="15">
        <v>5.2</v>
      </c>
      <c r="K294" s="15" t="s">
        <v>303</v>
      </c>
      <c r="L294" s="16">
        <v>7.1</v>
      </c>
      <c r="M294" s="16">
        <v>6.6</v>
      </c>
      <c r="N294" s="15">
        <v>5.4</v>
      </c>
      <c r="O294" s="15" t="s">
        <v>303</v>
      </c>
    </row>
    <row r="295" spans="1:15" x14ac:dyDescent="0.25">
      <c r="A295" s="21" t="s">
        <v>118</v>
      </c>
      <c r="C295" s="11">
        <v>31918</v>
      </c>
      <c r="D295" s="11">
        <v>15898</v>
      </c>
      <c r="E295" s="11">
        <v>16020</v>
      </c>
      <c r="F295" s="12">
        <f t="shared" si="3"/>
        <v>0</v>
      </c>
      <c r="G295" s="13">
        <f t="shared" si="4"/>
        <v>0</v>
      </c>
      <c r="H295" s="14">
        <f t="shared" si="5"/>
        <v>0</v>
      </c>
      <c r="I295" s="11">
        <v>96.3</v>
      </c>
      <c r="J295" s="15">
        <v>3.9</v>
      </c>
      <c r="K295" s="15">
        <v>4.2</v>
      </c>
      <c r="L295" s="16">
        <v>6.1</v>
      </c>
      <c r="M295" s="16">
        <v>6.6</v>
      </c>
      <c r="N295" s="15">
        <v>5</v>
      </c>
      <c r="O295" s="15">
        <v>5</v>
      </c>
    </row>
    <row r="296" spans="1:15" x14ac:dyDescent="0.25">
      <c r="A296" s="21" t="s">
        <v>265</v>
      </c>
      <c r="C296" s="11">
        <v>3930</v>
      </c>
      <c r="D296" s="11">
        <v>2005</v>
      </c>
      <c r="E296" s="11">
        <v>1925</v>
      </c>
      <c r="F296" s="12">
        <f t="shared" si="3"/>
        <v>0</v>
      </c>
      <c r="G296" s="13">
        <f t="shared" si="4"/>
        <v>0</v>
      </c>
      <c r="H296" s="14">
        <f t="shared" si="5"/>
        <v>0</v>
      </c>
      <c r="I296" s="11">
        <v>95.41</v>
      </c>
      <c r="J296" s="15" t="s">
        <v>303</v>
      </c>
      <c r="K296" s="15" t="s">
        <v>303</v>
      </c>
      <c r="L296" s="16">
        <v>6.3</v>
      </c>
      <c r="M296" s="16">
        <v>5.6</v>
      </c>
      <c r="N296" s="15">
        <v>4.8</v>
      </c>
      <c r="O296" s="15">
        <v>5.3</v>
      </c>
    </row>
    <row r="297" spans="1:15" x14ac:dyDescent="0.25">
      <c r="A297" s="22" t="s">
        <v>317</v>
      </c>
      <c r="F297" s="12">
        <f t="shared" si="3"/>
        <v>0</v>
      </c>
      <c r="G297" s="13"/>
      <c r="H297" s="14" t="e">
        <f t="shared" si="5"/>
        <v>#DIV/0!</v>
      </c>
    </row>
    <row r="298" spans="1:15" x14ac:dyDescent="0.25">
      <c r="F298" s="17"/>
      <c r="G298" s="13"/>
      <c r="H298" s="12"/>
      <c r="I298" s="11"/>
      <c r="J298" s="18"/>
      <c r="K298" s="18"/>
    </row>
    <row r="299" spans="1:15" x14ac:dyDescent="0.25">
      <c r="C299" s="11"/>
      <c r="D299" s="11"/>
      <c r="E299" s="11"/>
      <c r="F299" s="12"/>
      <c r="G299" s="13"/>
      <c r="H299" s="12"/>
      <c r="I299" s="11"/>
      <c r="J299" s="18"/>
      <c r="K299" s="18"/>
    </row>
    <row r="300" spans="1:15" x14ac:dyDescent="0.25">
      <c r="C300" s="11"/>
      <c r="D300" s="11"/>
      <c r="E300" s="11"/>
      <c r="F300" s="12"/>
      <c r="G300" s="13"/>
      <c r="H300" s="12"/>
      <c r="I300" s="11"/>
      <c r="J300" s="18"/>
      <c r="K300" s="18"/>
    </row>
    <row r="301" spans="1:15" x14ac:dyDescent="0.25">
      <c r="C301" s="11"/>
      <c r="D301" s="11"/>
      <c r="E301" s="11"/>
      <c r="F301" s="12"/>
      <c r="G301" s="13"/>
      <c r="H301" s="12"/>
      <c r="I301" s="11"/>
      <c r="J301" s="18"/>
      <c r="K301" s="18"/>
    </row>
    <row r="302" spans="1:15" x14ac:dyDescent="0.25">
      <c r="C302" s="11"/>
      <c r="D302" s="11"/>
      <c r="E302" s="11"/>
      <c r="F302" s="12"/>
      <c r="G302" s="13"/>
      <c r="H302" s="12"/>
      <c r="I302" s="11"/>
      <c r="J302" s="18"/>
      <c r="K302" s="18"/>
    </row>
    <row r="303" spans="1:15" x14ac:dyDescent="0.25">
      <c r="C303" s="11"/>
      <c r="D303" s="11"/>
      <c r="E303" s="11"/>
      <c r="F303" s="12"/>
      <c r="G303" s="13"/>
      <c r="H303" s="12"/>
      <c r="I303" s="11"/>
      <c r="J303" s="18"/>
      <c r="K303" s="18"/>
    </row>
    <row r="304" spans="1:15" x14ac:dyDescent="0.25">
      <c r="C304" s="11"/>
      <c r="D304" s="11"/>
      <c r="E304" s="11"/>
      <c r="F304" s="12"/>
      <c r="G304" s="13"/>
      <c r="H304" s="12"/>
      <c r="I304" s="11"/>
      <c r="J304" s="18"/>
      <c r="K304" s="18"/>
    </row>
    <row r="305" spans="3:11" x14ac:dyDescent="0.25">
      <c r="C305" s="11"/>
      <c r="D305" s="11"/>
      <c r="E305" s="11"/>
      <c r="F305" s="12"/>
      <c r="G305" s="13"/>
      <c r="H305" s="12"/>
      <c r="I305" s="11"/>
      <c r="J305" s="18"/>
      <c r="K305" s="18"/>
    </row>
    <row r="306" spans="3:11" x14ac:dyDescent="0.25">
      <c r="C306" s="11"/>
      <c r="D306" s="11"/>
      <c r="E306" s="11"/>
      <c r="F306" s="12"/>
      <c r="G306" s="13"/>
      <c r="H306" s="12"/>
      <c r="I306" s="11"/>
      <c r="J306" s="18"/>
      <c r="K306" s="18"/>
    </row>
    <row r="307" spans="3:11" x14ac:dyDescent="0.25">
      <c r="C307" s="11"/>
      <c r="D307" s="11"/>
      <c r="E307" s="11"/>
      <c r="F307" s="12"/>
      <c r="G307" s="13"/>
      <c r="H307" s="12"/>
      <c r="I307" s="11"/>
      <c r="J307" s="18"/>
      <c r="K307" s="18"/>
    </row>
    <row r="308" spans="3:11" x14ac:dyDescent="0.25">
      <c r="C308" s="11"/>
      <c r="D308" s="11"/>
      <c r="E308" s="11"/>
      <c r="F308" s="12"/>
      <c r="G308" s="13"/>
      <c r="H308" s="12"/>
      <c r="I308" s="11"/>
      <c r="J308" s="18"/>
      <c r="K308" s="18"/>
    </row>
    <row r="309" spans="3:11" x14ac:dyDescent="0.25">
      <c r="C309" s="11"/>
      <c r="D309" s="11"/>
      <c r="E309" s="11"/>
      <c r="F309" s="12"/>
      <c r="G309" s="13"/>
      <c r="H309" s="12"/>
      <c r="I309" s="11"/>
      <c r="J309" s="18"/>
      <c r="K309" s="18"/>
    </row>
    <row r="310" spans="3:11" x14ac:dyDescent="0.25">
      <c r="C310" s="11"/>
      <c r="D310" s="11"/>
      <c r="E310" s="11"/>
      <c r="F310" s="12"/>
      <c r="G310" s="13"/>
      <c r="H310" s="12"/>
      <c r="I310" s="11"/>
      <c r="J310" s="18"/>
      <c r="K310" s="18"/>
    </row>
    <row r="311" spans="3:11" x14ac:dyDescent="0.25">
      <c r="C311" s="11"/>
      <c r="D311" s="11"/>
      <c r="E311" s="11"/>
      <c r="F311" s="12"/>
      <c r="G311" s="13"/>
      <c r="H311" s="12"/>
      <c r="I311" s="11"/>
      <c r="J311" s="18"/>
      <c r="K311" s="18"/>
    </row>
    <row r="312" spans="3:11" x14ac:dyDescent="0.25">
      <c r="C312" s="11"/>
      <c r="D312" s="11"/>
      <c r="E312" s="11"/>
      <c r="F312" s="12"/>
      <c r="G312" s="13"/>
      <c r="H312" s="12"/>
      <c r="I312" s="11"/>
      <c r="J312" s="18"/>
      <c r="K312" s="18"/>
    </row>
    <row r="313" spans="3:11" x14ac:dyDescent="0.25">
      <c r="C313" s="11"/>
      <c r="D313" s="11"/>
      <c r="E313" s="11"/>
      <c r="F313" s="12"/>
      <c r="G313" s="13"/>
      <c r="H313" s="12"/>
      <c r="I313" s="11"/>
      <c r="J313" s="18"/>
      <c r="K313" s="18"/>
    </row>
    <row r="314" spans="3:11" x14ac:dyDescent="0.25">
      <c r="C314" s="11"/>
      <c r="D314" s="11"/>
      <c r="E314" s="11"/>
      <c r="F314" s="12"/>
      <c r="G314" s="13"/>
      <c r="H314" s="12"/>
      <c r="I314" s="11"/>
      <c r="J314" s="18"/>
      <c r="K314" s="18"/>
    </row>
    <row r="315" spans="3:11" x14ac:dyDescent="0.25">
      <c r="C315" s="11"/>
      <c r="D315" s="11"/>
      <c r="E315" s="11"/>
      <c r="F315" s="12"/>
      <c r="G315" s="13"/>
      <c r="H315" s="12"/>
      <c r="I315" s="11"/>
      <c r="J315" s="18"/>
      <c r="K315" s="18"/>
    </row>
    <row r="316" spans="3:11" x14ac:dyDescent="0.25">
      <c r="C316" s="11"/>
      <c r="D316" s="11"/>
      <c r="E316" s="11"/>
      <c r="F316" s="12"/>
      <c r="G316" s="13"/>
      <c r="H316" s="12"/>
      <c r="I316" s="11"/>
      <c r="J316" s="18"/>
      <c r="K316" s="18"/>
    </row>
    <row r="317" spans="3:11" x14ac:dyDescent="0.25">
      <c r="C317" s="11"/>
      <c r="D317" s="11"/>
      <c r="E317" s="11"/>
      <c r="F317" s="12"/>
      <c r="G317" s="13"/>
      <c r="H317" s="12"/>
      <c r="I317" s="11"/>
      <c r="J317" s="18"/>
      <c r="K317" s="18"/>
    </row>
    <row r="318" spans="3:11" x14ac:dyDescent="0.25">
      <c r="C318" s="11"/>
      <c r="D318" s="11"/>
      <c r="E318" s="11"/>
      <c r="F318" s="12"/>
      <c r="G318" s="13"/>
      <c r="H318" s="12"/>
      <c r="I318" s="11"/>
      <c r="J318" s="18"/>
      <c r="K318" s="18"/>
    </row>
    <row r="319" spans="3:11" x14ac:dyDescent="0.25">
      <c r="C319" s="11"/>
      <c r="D319" s="11"/>
      <c r="E319" s="11"/>
      <c r="F319" s="12"/>
      <c r="G319" s="13"/>
      <c r="H319" s="12"/>
      <c r="I319" s="11"/>
      <c r="J319" s="18"/>
      <c r="K319" s="18"/>
    </row>
    <row r="320" spans="3:11" x14ac:dyDescent="0.25">
      <c r="C320" s="11"/>
      <c r="D320" s="11"/>
      <c r="E320" s="11"/>
      <c r="F320" s="12"/>
      <c r="G320" s="13"/>
      <c r="H320" s="12"/>
      <c r="I320" s="11"/>
      <c r="J320" s="18"/>
      <c r="K320" s="18"/>
    </row>
    <row r="321" spans="3:11" x14ac:dyDescent="0.25">
      <c r="C321" s="11"/>
      <c r="D321" s="11"/>
      <c r="E321" s="11"/>
      <c r="F321" s="12"/>
      <c r="G321" s="13"/>
      <c r="H321" s="12"/>
      <c r="I321" s="11"/>
      <c r="J321" s="18"/>
      <c r="K321" s="18"/>
    </row>
    <row r="322" spans="3:11" x14ac:dyDescent="0.25">
      <c r="C322" s="11"/>
      <c r="D322" s="11"/>
      <c r="E322" s="11"/>
      <c r="F322" s="12"/>
      <c r="G322" s="13"/>
      <c r="H322" s="12"/>
      <c r="I322" s="11"/>
      <c r="J322" s="18"/>
      <c r="K322" s="18"/>
    </row>
    <row r="323" spans="3:11" x14ac:dyDescent="0.25">
      <c r="C323" s="11"/>
      <c r="D323" s="11"/>
      <c r="E323" s="11"/>
      <c r="F323" s="12"/>
      <c r="G323" s="13"/>
      <c r="H323" s="12"/>
      <c r="I323" s="11"/>
      <c r="J323" s="18"/>
      <c r="K323" s="18"/>
    </row>
    <row r="324" spans="3:11" x14ac:dyDescent="0.25">
      <c r="C324" s="11"/>
      <c r="D324" s="11"/>
      <c r="E324" s="11"/>
      <c r="F324" s="12"/>
      <c r="G324" s="13"/>
      <c r="H324" s="12"/>
      <c r="I324" s="11"/>
      <c r="J324" s="18"/>
      <c r="K324" s="18"/>
    </row>
    <row r="325" spans="3:11" x14ac:dyDescent="0.25">
      <c r="C325" s="11"/>
      <c r="D325" s="11"/>
      <c r="E325" s="11"/>
      <c r="F325" s="12"/>
      <c r="G325" s="13"/>
      <c r="H325" s="12"/>
      <c r="I325" s="11"/>
      <c r="J325" s="18"/>
      <c r="K325" s="18"/>
    </row>
    <row r="326" spans="3:11" x14ac:dyDescent="0.25">
      <c r="C326" s="11"/>
      <c r="D326" s="11"/>
      <c r="E326" s="11"/>
      <c r="F326" s="12"/>
      <c r="G326" s="13"/>
      <c r="H326" s="12"/>
      <c r="I326" s="11"/>
      <c r="J326" s="18"/>
      <c r="K326" s="18"/>
    </row>
    <row r="327" spans="3:11" x14ac:dyDescent="0.25">
      <c r="C327" s="11"/>
      <c r="D327" s="11"/>
      <c r="E327" s="11"/>
      <c r="F327" s="12"/>
      <c r="G327" s="13"/>
      <c r="H327" s="12"/>
      <c r="I327" s="11"/>
      <c r="J327" s="18"/>
      <c r="K327" s="18"/>
    </row>
    <row r="328" spans="3:11" x14ac:dyDescent="0.25">
      <c r="C328" s="11"/>
      <c r="D328" s="11"/>
      <c r="E328" s="11"/>
      <c r="F328" s="12"/>
      <c r="G328" s="13"/>
      <c r="H328" s="12"/>
      <c r="I328" s="11"/>
      <c r="J328" s="18"/>
      <c r="K328" s="18"/>
    </row>
    <row r="329" spans="3:11" x14ac:dyDescent="0.25">
      <c r="C329" s="11"/>
      <c r="D329" s="11"/>
      <c r="E329" s="11"/>
      <c r="F329" s="12"/>
      <c r="G329" s="13"/>
      <c r="H329" s="12"/>
      <c r="I329" s="11"/>
      <c r="J329" s="18"/>
      <c r="K329" s="18"/>
    </row>
    <row r="330" spans="3:11" x14ac:dyDescent="0.25">
      <c r="C330" s="11"/>
      <c r="D330" s="11"/>
      <c r="E330" s="11"/>
      <c r="F330" s="12"/>
      <c r="G330" s="13"/>
      <c r="H330" s="12"/>
      <c r="I330" s="11"/>
      <c r="J330" s="18"/>
      <c r="K330" s="18"/>
    </row>
    <row r="331" spans="3:11" x14ac:dyDescent="0.25">
      <c r="C331" s="11"/>
      <c r="D331" s="11"/>
      <c r="E331" s="11"/>
      <c r="F331" s="12"/>
      <c r="G331" s="13"/>
      <c r="H331" s="12"/>
      <c r="I331" s="11"/>
      <c r="J331" s="18"/>
      <c r="K331" s="18"/>
    </row>
    <row r="332" spans="3:11" x14ac:dyDescent="0.25">
      <c r="C332" s="11"/>
      <c r="D332" s="11"/>
      <c r="E332" s="11"/>
      <c r="F332" s="12"/>
      <c r="G332" s="13"/>
      <c r="H332" s="12"/>
      <c r="I332" s="11"/>
      <c r="J332" s="18"/>
      <c r="K332" s="18"/>
    </row>
    <row r="333" spans="3:11" x14ac:dyDescent="0.25">
      <c r="C333" s="11"/>
      <c r="D333" s="11"/>
      <c r="E333" s="11"/>
      <c r="F333" s="12"/>
      <c r="G333" s="13"/>
      <c r="H333" s="12"/>
      <c r="I333" s="11"/>
      <c r="J333" s="18"/>
      <c r="K333" s="18"/>
    </row>
    <row r="334" spans="3:11" x14ac:dyDescent="0.25">
      <c r="C334" s="11"/>
      <c r="D334" s="11"/>
      <c r="E334" s="11"/>
      <c r="F334" s="12"/>
      <c r="G334" s="13"/>
      <c r="H334" s="12"/>
      <c r="I334" s="11"/>
      <c r="J334" s="18"/>
      <c r="K334" s="18"/>
    </row>
    <row r="335" spans="3:11" x14ac:dyDescent="0.25">
      <c r="C335" s="11"/>
      <c r="D335" s="11"/>
      <c r="E335" s="11"/>
      <c r="F335" s="12"/>
      <c r="G335" s="13"/>
      <c r="H335" s="12"/>
      <c r="I335" s="11"/>
      <c r="J335" s="18"/>
      <c r="K335" s="18"/>
    </row>
    <row r="336" spans="3:11" x14ac:dyDescent="0.25">
      <c r="C336" s="11"/>
      <c r="D336" s="11"/>
      <c r="E336" s="11"/>
      <c r="F336" s="12"/>
      <c r="G336" s="13"/>
      <c r="H336" s="12"/>
      <c r="I336" s="11"/>
      <c r="J336" s="18"/>
      <c r="K336" s="18"/>
    </row>
    <row r="337" spans="3:11" x14ac:dyDescent="0.25">
      <c r="C337" s="11"/>
      <c r="D337" s="11"/>
      <c r="E337" s="11"/>
      <c r="F337" s="12"/>
      <c r="G337" s="13"/>
      <c r="H337" s="12"/>
      <c r="I337" s="11"/>
      <c r="J337" s="18"/>
      <c r="K337" s="18"/>
    </row>
    <row r="338" spans="3:11" x14ac:dyDescent="0.25">
      <c r="C338" s="11"/>
      <c r="D338" s="11"/>
      <c r="E338" s="11"/>
      <c r="F338" s="12"/>
      <c r="G338" s="13"/>
      <c r="H338" s="12"/>
      <c r="I338" s="11"/>
      <c r="J338" s="18"/>
      <c r="K338" s="18"/>
    </row>
    <row r="339" spans="3:11" x14ac:dyDescent="0.25">
      <c r="C339" s="11"/>
      <c r="D339" s="11"/>
      <c r="E339" s="11"/>
      <c r="F339" s="12"/>
      <c r="G339" s="13"/>
      <c r="H339" s="12"/>
      <c r="I339" s="11"/>
      <c r="J339" s="18"/>
      <c r="K339" s="18"/>
    </row>
    <row r="340" spans="3:11" x14ac:dyDescent="0.25">
      <c r="C340" s="11"/>
      <c r="D340" s="11"/>
      <c r="E340" s="11"/>
      <c r="F340" s="12"/>
      <c r="G340" s="13"/>
      <c r="H340" s="12"/>
      <c r="I340" s="11"/>
      <c r="J340" s="18"/>
      <c r="K340" s="18"/>
    </row>
    <row r="341" spans="3:11" x14ac:dyDescent="0.25">
      <c r="C341" s="11"/>
      <c r="D341" s="11"/>
      <c r="E341" s="11"/>
      <c r="F341" s="12"/>
      <c r="G341" s="13"/>
      <c r="H341" s="12"/>
      <c r="I341" s="11"/>
      <c r="J341" s="18"/>
      <c r="K341" s="18"/>
    </row>
    <row r="342" spans="3:11" x14ac:dyDescent="0.25">
      <c r="C342" s="11"/>
      <c r="D342" s="11"/>
      <c r="E342" s="11"/>
      <c r="F342" s="12"/>
      <c r="G342" s="13"/>
      <c r="H342" s="12"/>
      <c r="I342" s="11"/>
      <c r="J342" s="18"/>
      <c r="K342" s="18"/>
    </row>
    <row r="343" spans="3:11" x14ac:dyDescent="0.25">
      <c r="C343" s="11"/>
      <c r="D343" s="11"/>
      <c r="E343" s="11"/>
      <c r="F343" s="12"/>
      <c r="G343" s="13"/>
      <c r="H343" s="12"/>
      <c r="I343" s="11"/>
      <c r="J343" s="18"/>
      <c r="K343" s="18"/>
    </row>
    <row r="344" spans="3:11" x14ac:dyDescent="0.25">
      <c r="C344" s="11"/>
      <c r="D344" s="11"/>
      <c r="E344" s="11"/>
      <c r="F344" s="12"/>
      <c r="G344" s="13"/>
      <c r="H344" s="12"/>
      <c r="I344" s="11"/>
      <c r="J344" s="18"/>
      <c r="K344" s="18"/>
    </row>
    <row r="345" spans="3:11" x14ac:dyDescent="0.25">
      <c r="C345" s="11"/>
      <c r="D345" s="11"/>
      <c r="E345" s="11"/>
      <c r="F345" s="12"/>
      <c r="G345" s="13"/>
      <c r="H345" s="12"/>
      <c r="I345" s="11"/>
      <c r="J345" s="18"/>
      <c r="K345" s="18"/>
    </row>
    <row r="346" spans="3:11" x14ac:dyDescent="0.25">
      <c r="C346" s="11"/>
      <c r="D346" s="11"/>
      <c r="E346" s="11"/>
      <c r="F346" s="12"/>
      <c r="G346" s="13"/>
      <c r="H346" s="12"/>
      <c r="I346" s="11"/>
      <c r="J346" s="18"/>
      <c r="K346" s="18"/>
    </row>
    <row r="347" spans="3:11" x14ac:dyDescent="0.25">
      <c r="C347" s="11"/>
      <c r="D347" s="11"/>
      <c r="E347" s="11"/>
      <c r="F347" s="12"/>
      <c r="G347" s="13"/>
      <c r="H347" s="12"/>
      <c r="I347" s="11"/>
      <c r="J347" s="18"/>
      <c r="K347" s="18"/>
    </row>
    <row r="348" spans="3:11" x14ac:dyDescent="0.25">
      <c r="C348" s="11"/>
      <c r="D348" s="11"/>
      <c r="E348" s="11"/>
      <c r="F348" s="12"/>
      <c r="G348" s="13"/>
      <c r="H348" s="12"/>
      <c r="I348" s="11"/>
      <c r="J348" s="18"/>
      <c r="K348" s="18"/>
    </row>
    <row r="349" spans="3:11" x14ac:dyDescent="0.25">
      <c r="C349" s="11"/>
      <c r="D349" s="11"/>
      <c r="E349" s="11"/>
      <c r="F349" s="12"/>
      <c r="G349" s="13"/>
      <c r="H349" s="12"/>
      <c r="I349" s="11"/>
      <c r="J349" s="18"/>
      <c r="K349" s="18"/>
    </row>
    <row r="350" spans="3:11" x14ac:dyDescent="0.25">
      <c r="C350" s="11"/>
      <c r="D350" s="11"/>
      <c r="E350" s="11"/>
      <c r="F350" s="12"/>
      <c r="G350" s="13"/>
      <c r="H350" s="12"/>
      <c r="I350" s="11"/>
      <c r="J350" s="18"/>
      <c r="K350" s="18"/>
    </row>
    <row r="351" spans="3:11" x14ac:dyDescent="0.25">
      <c r="C351" s="11"/>
      <c r="D351" s="11"/>
      <c r="E351" s="11"/>
      <c r="F351" s="12"/>
      <c r="G351" s="13"/>
      <c r="H351" s="12"/>
      <c r="I351" s="11"/>
      <c r="J351" s="18"/>
      <c r="K351" s="18"/>
    </row>
    <row r="352" spans="3:11" x14ac:dyDescent="0.25">
      <c r="C352" s="11"/>
      <c r="D352" s="11"/>
      <c r="E352" s="11"/>
      <c r="F352" s="12"/>
      <c r="G352" s="13"/>
      <c r="H352" s="12"/>
      <c r="I352" s="11"/>
      <c r="J352" s="18"/>
      <c r="K352" s="18"/>
    </row>
    <row r="353" spans="3:11" x14ac:dyDescent="0.25">
      <c r="C353" s="11"/>
      <c r="D353" s="11"/>
      <c r="E353" s="11"/>
      <c r="F353" s="12"/>
      <c r="G353" s="13"/>
      <c r="H353" s="12"/>
      <c r="I353" s="11"/>
      <c r="J353" s="18"/>
      <c r="K353" s="18"/>
    </row>
    <row r="354" spans="3:11" x14ac:dyDescent="0.25">
      <c r="C354" s="11"/>
      <c r="D354" s="11"/>
      <c r="E354" s="11"/>
      <c r="F354" s="12"/>
      <c r="G354" s="13"/>
      <c r="H354" s="12"/>
      <c r="I354" s="11"/>
      <c r="J354" s="18"/>
      <c r="K354" s="18"/>
    </row>
    <row r="355" spans="3:11" x14ac:dyDescent="0.25">
      <c r="C355" s="11"/>
      <c r="D355" s="11"/>
      <c r="E355" s="11"/>
      <c r="F355" s="12"/>
      <c r="G355" s="13"/>
      <c r="H355" s="12"/>
      <c r="I355" s="11"/>
      <c r="J355" s="18"/>
      <c r="K355" s="18"/>
    </row>
    <row r="356" spans="3:11" x14ac:dyDescent="0.25">
      <c r="C356" s="11"/>
      <c r="D356" s="11"/>
      <c r="E356" s="11"/>
      <c r="F356" s="12"/>
      <c r="G356" s="13"/>
      <c r="H356" s="12"/>
      <c r="I356" s="11"/>
      <c r="J356" s="18"/>
      <c r="K356" s="18"/>
    </row>
    <row r="357" spans="3:11" x14ac:dyDescent="0.25">
      <c r="C357" s="11"/>
      <c r="D357" s="11"/>
      <c r="E357" s="11"/>
      <c r="F357" s="12"/>
      <c r="G357" s="13"/>
      <c r="H357" s="12"/>
      <c r="I357" s="11"/>
      <c r="J357" s="18"/>
      <c r="K357" s="18"/>
    </row>
    <row r="358" spans="3:11" x14ac:dyDescent="0.25">
      <c r="C358" s="11"/>
      <c r="D358" s="11"/>
      <c r="E358" s="11"/>
      <c r="F358" s="12"/>
      <c r="G358" s="13"/>
      <c r="H358" s="12"/>
      <c r="I358" s="11"/>
      <c r="J358" s="18"/>
      <c r="K358" s="18"/>
    </row>
    <row r="359" spans="3:11" x14ac:dyDescent="0.25">
      <c r="C359" s="11"/>
      <c r="D359" s="11"/>
      <c r="E359" s="11"/>
      <c r="F359" s="12"/>
      <c r="G359" s="13"/>
      <c r="H359" s="12"/>
      <c r="I359" s="11"/>
      <c r="J359" s="18"/>
      <c r="K359" s="18"/>
    </row>
    <row r="360" spans="3:11" x14ac:dyDescent="0.25">
      <c r="C360" s="11"/>
      <c r="D360" s="11"/>
      <c r="E360" s="11"/>
      <c r="F360" s="12"/>
      <c r="G360" s="13"/>
      <c r="H360" s="12"/>
      <c r="I360" s="11"/>
      <c r="J360" s="18"/>
      <c r="K360" s="18"/>
    </row>
    <row r="361" spans="3:11" x14ac:dyDescent="0.25">
      <c r="C361" s="11"/>
      <c r="D361" s="11"/>
      <c r="E361" s="11"/>
      <c r="F361" s="12"/>
      <c r="G361" s="13"/>
      <c r="H361" s="12"/>
      <c r="I361" s="11"/>
      <c r="J361" s="18"/>
      <c r="K361" s="18"/>
    </row>
    <row r="362" spans="3:11" x14ac:dyDescent="0.25">
      <c r="C362" s="11"/>
      <c r="D362" s="11"/>
      <c r="E362" s="11"/>
      <c r="F362" s="12"/>
      <c r="G362" s="13"/>
      <c r="H362" s="12"/>
      <c r="I362" s="11"/>
      <c r="J362" s="18"/>
      <c r="K362" s="18"/>
    </row>
    <row r="363" spans="3:11" x14ac:dyDescent="0.25">
      <c r="C363" s="11"/>
      <c r="D363" s="11"/>
      <c r="E363" s="11"/>
      <c r="F363" s="12"/>
      <c r="G363" s="13"/>
      <c r="H363" s="12"/>
      <c r="I363" s="11"/>
      <c r="J363" s="18"/>
      <c r="K363" s="18"/>
    </row>
    <row r="364" spans="3:11" x14ac:dyDescent="0.25">
      <c r="C364" s="11"/>
      <c r="D364" s="11"/>
      <c r="E364" s="11"/>
      <c r="F364" s="12"/>
      <c r="G364" s="13"/>
      <c r="H364" s="12"/>
      <c r="I364" s="11"/>
      <c r="J364" s="18"/>
      <c r="K364" s="18"/>
    </row>
    <row r="365" spans="3:11" x14ac:dyDescent="0.25">
      <c r="C365" s="11"/>
      <c r="D365" s="11"/>
      <c r="E365" s="11"/>
      <c r="F365" s="12"/>
      <c r="G365" s="13"/>
      <c r="H365" s="12"/>
      <c r="I365" s="11"/>
      <c r="J365" s="18"/>
      <c r="K365" s="18"/>
    </row>
    <row r="366" spans="3:11" x14ac:dyDescent="0.25">
      <c r="C366" s="11"/>
      <c r="D366" s="11"/>
      <c r="E366" s="11"/>
      <c r="F366" s="12"/>
      <c r="G366" s="13"/>
      <c r="H366" s="12"/>
      <c r="I366" s="11"/>
      <c r="J366" s="18"/>
      <c r="K366" s="18"/>
    </row>
    <row r="367" spans="3:11" x14ac:dyDescent="0.25">
      <c r="C367" s="11"/>
      <c r="D367" s="11"/>
      <c r="E367" s="11"/>
      <c r="F367" s="12"/>
      <c r="G367" s="13"/>
      <c r="H367" s="12"/>
      <c r="I367" s="11"/>
      <c r="J367" s="18"/>
      <c r="K367" s="18"/>
    </row>
    <row r="368" spans="3:11" x14ac:dyDescent="0.25">
      <c r="C368" s="11"/>
      <c r="D368" s="11"/>
      <c r="E368" s="11"/>
      <c r="F368" s="12"/>
      <c r="G368" s="13"/>
      <c r="H368" s="12"/>
      <c r="I368" s="11"/>
      <c r="J368" s="18"/>
      <c r="K368" s="18"/>
    </row>
    <row r="369" spans="3:11" x14ac:dyDescent="0.25">
      <c r="C369" s="11"/>
      <c r="D369" s="11"/>
      <c r="E369" s="11"/>
      <c r="F369" s="12"/>
      <c r="G369" s="13"/>
      <c r="H369" s="12"/>
      <c r="I369" s="11"/>
      <c r="J369" s="18"/>
      <c r="K369" s="18"/>
    </row>
    <row r="370" spans="3:11" x14ac:dyDescent="0.25">
      <c r="C370" s="11"/>
      <c r="D370" s="11"/>
      <c r="E370" s="11"/>
      <c r="F370" s="12"/>
      <c r="G370" s="13"/>
      <c r="H370" s="12"/>
      <c r="I370" s="11"/>
      <c r="J370" s="18"/>
      <c r="K370" s="18"/>
    </row>
    <row r="371" spans="3:11" x14ac:dyDescent="0.25">
      <c r="C371" s="11"/>
      <c r="D371" s="11"/>
      <c r="E371" s="11"/>
      <c r="F371" s="12"/>
      <c r="G371" s="13"/>
      <c r="H371" s="12"/>
      <c r="I371" s="11"/>
      <c r="J371" s="18"/>
      <c r="K371" s="18"/>
    </row>
    <row r="372" spans="3:11" x14ac:dyDescent="0.25">
      <c r="C372" s="11"/>
      <c r="D372" s="11"/>
      <c r="E372" s="11"/>
      <c r="F372" s="12"/>
      <c r="G372" s="13"/>
      <c r="H372" s="12"/>
      <c r="I372" s="11"/>
      <c r="J372" s="18"/>
      <c r="K372" s="18"/>
    </row>
    <row r="373" spans="3:11" x14ac:dyDescent="0.25">
      <c r="C373" s="11"/>
      <c r="D373" s="11"/>
      <c r="E373" s="11"/>
      <c r="F373" s="12"/>
      <c r="G373" s="13"/>
      <c r="H373" s="12"/>
      <c r="I373" s="11"/>
      <c r="J373" s="18"/>
      <c r="K373" s="18"/>
    </row>
    <row r="374" spans="3:11" x14ac:dyDescent="0.25">
      <c r="C374" s="11"/>
      <c r="D374" s="11"/>
      <c r="E374" s="11"/>
      <c r="F374" s="12"/>
      <c r="G374" s="13"/>
      <c r="H374" s="12"/>
      <c r="I374" s="11"/>
      <c r="J374" s="18"/>
      <c r="K374" s="18"/>
    </row>
    <row r="375" spans="3:11" x14ac:dyDescent="0.25">
      <c r="C375" s="11"/>
      <c r="D375" s="11"/>
      <c r="E375" s="11"/>
      <c r="F375" s="12"/>
      <c r="G375" s="13"/>
      <c r="H375" s="12"/>
      <c r="I375" s="11"/>
      <c r="J375" s="18"/>
      <c r="K375" s="18"/>
    </row>
    <row r="376" spans="3:11" x14ac:dyDescent="0.25">
      <c r="C376" s="11"/>
      <c r="D376" s="11"/>
      <c r="E376" s="11"/>
      <c r="F376" s="12"/>
      <c r="G376" s="13"/>
      <c r="H376" s="12"/>
      <c r="I376" s="11"/>
      <c r="J376" s="18"/>
      <c r="K376" s="18"/>
    </row>
    <row r="377" spans="3:11" x14ac:dyDescent="0.25">
      <c r="C377" s="11"/>
      <c r="D377" s="11"/>
      <c r="E377" s="11"/>
      <c r="F377" s="12"/>
      <c r="G377" s="13"/>
      <c r="H377" s="12"/>
      <c r="I377" s="11"/>
      <c r="J377" s="18"/>
      <c r="K377" s="18"/>
    </row>
    <row r="378" spans="3:11" x14ac:dyDescent="0.25">
      <c r="C378" s="11"/>
      <c r="D378" s="11"/>
      <c r="E378" s="11"/>
      <c r="F378" s="12"/>
      <c r="G378" s="13"/>
      <c r="H378" s="12"/>
      <c r="I378" s="11"/>
      <c r="J378" s="18"/>
      <c r="K378" s="18"/>
    </row>
    <row r="379" spans="3:11" x14ac:dyDescent="0.25">
      <c r="C379" s="11"/>
      <c r="D379" s="11"/>
      <c r="E379" s="11"/>
      <c r="F379" s="12"/>
      <c r="G379" s="13"/>
      <c r="H379" s="12"/>
      <c r="I379" s="11"/>
      <c r="J379" s="18"/>
      <c r="K379" s="18"/>
    </row>
    <row r="380" spans="3:11" x14ac:dyDescent="0.25">
      <c r="C380" s="11"/>
      <c r="D380" s="11"/>
      <c r="E380" s="11"/>
      <c r="F380" s="12"/>
      <c r="G380" s="13"/>
      <c r="H380" s="12"/>
      <c r="I380" s="11"/>
      <c r="J380" s="18"/>
      <c r="K380" s="18"/>
    </row>
    <row r="381" spans="3:11" x14ac:dyDescent="0.25">
      <c r="C381" s="11"/>
      <c r="D381" s="11"/>
      <c r="E381" s="11"/>
      <c r="F381" s="12"/>
      <c r="G381" s="13"/>
      <c r="H381" s="12"/>
      <c r="I381" s="11"/>
      <c r="J381" s="18"/>
      <c r="K381" s="18"/>
    </row>
    <row r="382" spans="3:11" x14ac:dyDescent="0.25">
      <c r="C382" s="11"/>
      <c r="D382" s="11"/>
      <c r="E382" s="11"/>
      <c r="F382" s="12"/>
      <c r="G382" s="13"/>
      <c r="H382" s="12"/>
      <c r="I382" s="11"/>
      <c r="J382" s="18"/>
      <c r="K382" s="18"/>
    </row>
    <row r="383" spans="3:11" x14ac:dyDescent="0.25">
      <c r="C383" s="11"/>
      <c r="D383" s="11"/>
      <c r="E383" s="11"/>
      <c r="F383" s="12"/>
      <c r="G383" s="13"/>
      <c r="H383" s="12"/>
      <c r="I383" s="11"/>
      <c r="J383" s="18"/>
      <c r="K383" s="18"/>
    </row>
    <row r="384" spans="3:11" x14ac:dyDescent="0.25">
      <c r="C384" s="11"/>
      <c r="D384" s="11"/>
      <c r="E384" s="11"/>
      <c r="F384" s="12"/>
      <c r="G384" s="13"/>
      <c r="H384" s="12"/>
      <c r="I384" s="11"/>
      <c r="J384" s="18"/>
      <c r="K384" s="18"/>
    </row>
    <row r="385" spans="3:11" x14ac:dyDescent="0.25">
      <c r="C385" s="11"/>
      <c r="D385" s="11"/>
      <c r="E385" s="11"/>
      <c r="F385" s="12"/>
      <c r="G385" s="13"/>
      <c r="H385" s="12"/>
      <c r="I385" s="11"/>
      <c r="J385" s="18"/>
      <c r="K385" s="18"/>
    </row>
    <row r="386" spans="3:11" x14ac:dyDescent="0.25">
      <c r="C386" s="11"/>
      <c r="D386" s="11"/>
      <c r="E386" s="11"/>
      <c r="F386" s="12"/>
      <c r="G386" s="13"/>
      <c r="H386" s="12"/>
      <c r="I386" s="11"/>
      <c r="J386" s="18"/>
      <c r="K386" s="18"/>
    </row>
    <row r="387" spans="3:11" x14ac:dyDescent="0.25">
      <c r="C387" s="11"/>
      <c r="D387" s="11"/>
      <c r="E387" s="11"/>
      <c r="F387" s="12"/>
      <c r="G387" s="13"/>
      <c r="H387" s="12"/>
      <c r="I387" s="11"/>
      <c r="J387" s="18"/>
      <c r="K387" s="18"/>
    </row>
    <row r="388" spans="3:11" x14ac:dyDescent="0.25">
      <c r="C388" s="11"/>
      <c r="D388" s="11"/>
      <c r="E388" s="11"/>
      <c r="F388" s="12"/>
      <c r="G388" s="13"/>
      <c r="H388" s="12"/>
      <c r="I388" s="11"/>
      <c r="J388" s="18"/>
      <c r="K388" s="18"/>
    </row>
    <row r="389" spans="3:11" x14ac:dyDescent="0.25">
      <c r="C389" s="11"/>
      <c r="D389" s="11"/>
      <c r="E389" s="11"/>
      <c r="F389" s="12"/>
      <c r="G389" s="13"/>
      <c r="H389" s="12"/>
      <c r="I389" s="11"/>
      <c r="J389" s="18"/>
      <c r="K389" s="18"/>
    </row>
    <row r="390" spans="3:11" x14ac:dyDescent="0.25">
      <c r="C390" s="11"/>
      <c r="D390" s="11"/>
      <c r="E390" s="11"/>
      <c r="F390" s="12"/>
      <c r="G390" s="13"/>
      <c r="H390" s="12"/>
      <c r="I390" s="11"/>
      <c r="J390" s="18"/>
      <c r="K390" s="18"/>
    </row>
    <row r="391" spans="3:11" x14ac:dyDescent="0.25">
      <c r="C391" s="11"/>
      <c r="D391" s="11"/>
      <c r="E391" s="11"/>
      <c r="F391" s="12"/>
      <c r="G391" s="13"/>
      <c r="H391" s="12"/>
      <c r="I391" s="11"/>
      <c r="J391" s="18"/>
      <c r="K391" s="18"/>
    </row>
    <row r="392" spans="3:11" x14ac:dyDescent="0.25">
      <c r="C392" s="11"/>
      <c r="D392" s="11"/>
      <c r="E392" s="11"/>
      <c r="F392" s="12"/>
      <c r="G392" s="13"/>
      <c r="H392" s="12"/>
      <c r="I392" s="11"/>
      <c r="J392" s="18"/>
      <c r="K392" s="18"/>
    </row>
    <row r="393" spans="3:11" x14ac:dyDescent="0.25">
      <c r="C393" s="11"/>
      <c r="D393" s="11"/>
      <c r="E393" s="11"/>
      <c r="F393" s="12"/>
      <c r="G393" s="13"/>
      <c r="H393" s="12"/>
      <c r="I393" s="11"/>
      <c r="J393" s="18"/>
      <c r="K393" s="18"/>
    </row>
    <row r="394" spans="3:11" x14ac:dyDescent="0.25">
      <c r="C394" s="11"/>
      <c r="D394" s="11"/>
      <c r="E394" s="11"/>
      <c r="F394" s="12"/>
      <c r="G394" s="13"/>
      <c r="H394" s="12"/>
      <c r="I394" s="11"/>
      <c r="J394" s="18"/>
      <c r="K394" s="18"/>
    </row>
    <row r="395" spans="3:11" x14ac:dyDescent="0.25">
      <c r="C395" s="11"/>
      <c r="D395" s="11"/>
      <c r="E395" s="11"/>
      <c r="F395" s="12"/>
      <c r="G395" s="13"/>
      <c r="H395" s="12"/>
      <c r="I395" s="11"/>
      <c r="J395" s="18"/>
      <c r="K395" s="18"/>
    </row>
    <row r="396" spans="3:11" x14ac:dyDescent="0.25">
      <c r="C396" s="11"/>
      <c r="D396" s="11"/>
      <c r="E396" s="11"/>
      <c r="F396" s="12"/>
      <c r="G396" s="13"/>
      <c r="H396" s="12"/>
      <c r="I396" s="11"/>
      <c r="J396" s="18"/>
      <c r="K396" s="18"/>
    </row>
    <row r="397" spans="3:11" x14ac:dyDescent="0.25">
      <c r="C397" s="11"/>
      <c r="D397" s="11"/>
      <c r="E397" s="11"/>
      <c r="F397" s="12"/>
      <c r="G397" s="13"/>
      <c r="H397" s="12"/>
      <c r="I397" s="11"/>
      <c r="J397" s="18"/>
      <c r="K397" s="18"/>
    </row>
    <row r="398" spans="3:11" x14ac:dyDescent="0.25">
      <c r="C398" s="11"/>
      <c r="D398" s="11"/>
      <c r="E398" s="11"/>
      <c r="F398" s="12"/>
      <c r="G398" s="13"/>
      <c r="H398" s="12"/>
      <c r="I398" s="11"/>
      <c r="J398" s="18"/>
      <c r="K398" s="18"/>
    </row>
    <row r="399" spans="3:11" x14ac:dyDescent="0.25">
      <c r="C399" s="11"/>
      <c r="D399" s="11"/>
      <c r="E399" s="11"/>
      <c r="F399" s="12"/>
      <c r="G399" s="13"/>
      <c r="H399" s="12"/>
      <c r="I399" s="11"/>
      <c r="J399" s="18"/>
      <c r="K399" s="18"/>
    </row>
    <row r="400" spans="3:11" x14ac:dyDescent="0.25">
      <c r="C400" s="11"/>
      <c r="D400" s="11"/>
      <c r="E400" s="11"/>
      <c r="F400" s="12"/>
      <c r="G400" s="13"/>
      <c r="H400" s="12"/>
      <c r="I400" s="11"/>
      <c r="J400" s="18"/>
      <c r="K400" s="18"/>
    </row>
    <row r="401" spans="3:11" x14ac:dyDescent="0.25">
      <c r="C401" s="11"/>
      <c r="D401" s="11"/>
      <c r="E401" s="11"/>
      <c r="F401" s="12"/>
      <c r="G401" s="13"/>
      <c r="H401" s="12"/>
      <c r="I401" s="11"/>
      <c r="J401" s="18"/>
      <c r="K401" s="18"/>
    </row>
    <row r="402" spans="3:11" x14ac:dyDescent="0.25">
      <c r="C402" s="11"/>
      <c r="D402" s="11"/>
      <c r="E402" s="11"/>
      <c r="F402" s="12"/>
      <c r="G402" s="13"/>
      <c r="H402" s="12"/>
      <c r="I402" s="11"/>
      <c r="J402" s="18"/>
      <c r="K402" s="18"/>
    </row>
    <row r="403" spans="3:11" x14ac:dyDescent="0.25">
      <c r="C403" s="11"/>
      <c r="D403" s="11"/>
      <c r="E403" s="11"/>
      <c r="F403" s="12"/>
      <c r="G403" s="13"/>
      <c r="H403" s="12"/>
      <c r="I403" s="11"/>
      <c r="J403" s="18"/>
      <c r="K403" s="18"/>
    </row>
    <row r="404" spans="3:11" x14ac:dyDescent="0.25">
      <c r="C404" s="11"/>
      <c r="D404" s="11"/>
      <c r="E404" s="11"/>
      <c r="F404" s="12"/>
      <c r="G404" s="13"/>
      <c r="H404" s="12"/>
      <c r="I404" s="11"/>
      <c r="J404" s="18"/>
      <c r="K404" s="18"/>
    </row>
    <row r="405" spans="3:11" x14ac:dyDescent="0.25">
      <c r="C405" s="11"/>
      <c r="D405" s="11"/>
      <c r="E405" s="11"/>
      <c r="F405" s="12"/>
      <c r="G405" s="13"/>
      <c r="H405" s="12"/>
      <c r="I405" s="11"/>
      <c r="J405" s="18"/>
      <c r="K405" s="18"/>
    </row>
    <row r="406" spans="3:11" x14ac:dyDescent="0.25">
      <c r="C406" s="11"/>
      <c r="D406" s="11"/>
      <c r="E406" s="11"/>
      <c r="F406" s="12"/>
      <c r="G406" s="13"/>
      <c r="H406" s="12"/>
      <c r="I406" s="11"/>
      <c r="J406" s="18"/>
      <c r="K406" s="18"/>
    </row>
    <row r="407" spans="3:11" x14ac:dyDescent="0.25">
      <c r="C407" s="11"/>
      <c r="D407" s="11"/>
      <c r="E407" s="11"/>
      <c r="F407" s="12"/>
      <c r="G407" s="13"/>
      <c r="H407" s="12"/>
      <c r="I407" s="11"/>
      <c r="J407" s="18"/>
      <c r="K407" s="18"/>
    </row>
    <row r="408" spans="3:11" x14ac:dyDescent="0.25">
      <c r="C408" s="11"/>
      <c r="D408" s="11"/>
      <c r="E408" s="11"/>
      <c r="F408" s="12"/>
      <c r="G408" s="13"/>
      <c r="H408" s="12"/>
      <c r="I408" s="11"/>
      <c r="J408" s="18"/>
      <c r="K408" s="18"/>
    </row>
    <row r="409" spans="3:11" x14ac:dyDescent="0.25">
      <c r="C409" s="11"/>
      <c r="D409" s="11"/>
      <c r="E409" s="11"/>
      <c r="F409" s="12"/>
      <c r="G409" s="13"/>
      <c r="H409" s="12"/>
      <c r="I409" s="11"/>
      <c r="J409" s="18"/>
      <c r="K409" s="18"/>
    </row>
    <row r="410" spans="3:11" x14ac:dyDescent="0.25">
      <c r="C410" s="11"/>
      <c r="D410" s="11"/>
      <c r="E410" s="11"/>
      <c r="F410" s="12"/>
      <c r="G410" s="13"/>
      <c r="H410" s="12"/>
      <c r="I410" s="11"/>
      <c r="J410" s="18"/>
      <c r="K410" s="18"/>
    </row>
    <row r="411" spans="3:11" x14ac:dyDescent="0.25">
      <c r="C411" s="11"/>
      <c r="D411" s="11"/>
      <c r="E411" s="11"/>
      <c r="F411" s="12"/>
      <c r="G411" s="13"/>
      <c r="H411" s="12"/>
      <c r="I411" s="11"/>
      <c r="J411" s="18"/>
      <c r="K411" s="18"/>
    </row>
    <row r="412" spans="3:11" x14ac:dyDescent="0.25">
      <c r="C412" s="11"/>
      <c r="D412" s="11"/>
      <c r="E412" s="11"/>
      <c r="F412" s="12"/>
      <c r="G412" s="13"/>
      <c r="H412" s="12"/>
      <c r="I412" s="11"/>
      <c r="J412" s="18"/>
      <c r="K412" s="18"/>
    </row>
    <row r="413" spans="3:11" x14ac:dyDescent="0.25">
      <c r="C413" s="11"/>
      <c r="D413" s="11"/>
      <c r="E413" s="11"/>
      <c r="F413" s="12"/>
      <c r="G413" s="13"/>
      <c r="H413" s="12"/>
      <c r="I413" s="11"/>
      <c r="J413" s="18"/>
      <c r="K413" s="18"/>
    </row>
    <row r="414" spans="3:11" x14ac:dyDescent="0.25">
      <c r="C414" s="11"/>
      <c r="D414" s="11"/>
      <c r="E414" s="11"/>
      <c r="F414" s="12"/>
      <c r="G414" s="13"/>
      <c r="H414" s="12"/>
      <c r="I414" s="11"/>
      <c r="J414" s="18"/>
      <c r="K414" s="18"/>
    </row>
    <row r="415" spans="3:11" x14ac:dyDescent="0.25">
      <c r="C415" s="11"/>
      <c r="D415" s="11"/>
      <c r="E415" s="11"/>
      <c r="F415" s="12"/>
      <c r="G415" s="13"/>
      <c r="H415" s="12"/>
      <c r="I415" s="11"/>
      <c r="J415" s="18"/>
      <c r="K415" s="18"/>
    </row>
    <row r="416" spans="3:11" x14ac:dyDescent="0.25">
      <c r="C416" s="11"/>
      <c r="D416" s="11"/>
      <c r="E416" s="11"/>
      <c r="F416" s="12"/>
      <c r="G416" s="13"/>
      <c r="H416" s="12"/>
      <c r="I416" s="11"/>
      <c r="J416" s="18"/>
      <c r="K416" s="18"/>
    </row>
    <row r="417" spans="3:11" x14ac:dyDescent="0.25">
      <c r="C417" s="11"/>
      <c r="D417" s="11"/>
      <c r="E417" s="11"/>
      <c r="F417" s="12"/>
      <c r="G417" s="13"/>
      <c r="H417" s="12"/>
      <c r="I417" s="11"/>
      <c r="J417" s="18"/>
      <c r="K417" s="18"/>
    </row>
    <row r="418" spans="3:11" x14ac:dyDescent="0.25">
      <c r="C418" s="11"/>
      <c r="D418" s="11"/>
      <c r="E418" s="11"/>
      <c r="F418" s="12"/>
      <c r="G418" s="13"/>
      <c r="H418" s="12"/>
      <c r="I418" s="11"/>
      <c r="J418" s="18"/>
      <c r="K418" s="18"/>
    </row>
    <row r="419" spans="3:11" x14ac:dyDescent="0.25">
      <c r="C419" s="11"/>
      <c r="D419" s="11"/>
      <c r="E419" s="11"/>
      <c r="F419" s="12"/>
      <c r="G419" s="13"/>
      <c r="H419" s="12"/>
      <c r="I419" s="11"/>
      <c r="J419" s="18"/>
      <c r="K419" s="18"/>
    </row>
    <row r="420" spans="3:11" x14ac:dyDescent="0.25">
      <c r="C420" s="11"/>
      <c r="D420" s="11"/>
      <c r="E420" s="11"/>
      <c r="F420" s="12"/>
      <c r="G420" s="13"/>
      <c r="H420" s="12"/>
      <c r="I420" s="11"/>
      <c r="J420" s="18"/>
      <c r="K420" s="18"/>
    </row>
    <row r="421" spans="3:11" x14ac:dyDescent="0.25">
      <c r="C421" s="11"/>
      <c r="D421" s="11"/>
      <c r="E421" s="11"/>
      <c r="F421" s="12"/>
      <c r="G421" s="13"/>
      <c r="H421" s="12"/>
      <c r="I421" s="11"/>
      <c r="J421" s="18"/>
      <c r="K421" s="18"/>
    </row>
    <row r="422" spans="3:11" x14ac:dyDescent="0.25">
      <c r="C422" s="11"/>
      <c r="D422" s="11"/>
      <c r="E422" s="11"/>
      <c r="F422" s="12"/>
      <c r="G422" s="13"/>
      <c r="H422" s="12"/>
      <c r="I422" s="11"/>
      <c r="J422" s="18"/>
      <c r="K422" s="18"/>
    </row>
    <row r="423" spans="3:11" x14ac:dyDescent="0.25">
      <c r="C423" s="11"/>
      <c r="D423" s="11"/>
      <c r="E423" s="11"/>
      <c r="F423" s="12"/>
      <c r="G423" s="13"/>
      <c r="H423" s="12"/>
      <c r="I423" s="11"/>
      <c r="J423" s="18"/>
      <c r="K423" s="18"/>
    </row>
    <row r="424" spans="3:11" x14ac:dyDescent="0.25">
      <c r="C424" s="11"/>
      <c r="D424" s="11"/>
      <c r="E424" s="11"/>
      <c r="F424" s="12"/>
      <c r="G424" s="13"/>
      <c r="H424" s="12"/>
      <c r="I424" s="11"/>
      <c r="J424" s="18"/>
      <c r="K424" s="18"/>
    </row>
    <row r="425" spans="3:11" x14ac:dyDescent="0.25">
      <c r="C425" s="11"/>
      <c r="D425" s="11"/>
      <c r="E425" s="11"/>
      <c r="F425" s="12"/>
      <c r="G425" s="13"/>
      <c r="H425" s="12"/>
      <c r="I425" s="11"/>
      <c r="J425" s="18"/>
      <c r="K425" s="18"/>
    </row>
    <row r="426" spans="3:11" x14ac:dyDescent="0.25">
      <c r="C426" s="11"/>
      <c r="D426" s="11"/>
      <c r="E426" s="11"/>
      <c r="F426" s="12"/>
      <c r="G426" s="13"/>
      <c r="H426" s="12"/>
      <c r="I426" s="11"/>
      <c r="J426" s="18"/>
      <c r="K426" s="18"/>
    </row>
    <row r="427" spans="3:11" x14ac:dyDescent="0.25">
      <c r="C427" s="11"/>
      <c r="D427" s="11"/>
      <c r="E427" s="11"/>
      <c r="F427" s="12"/>
      <c r="G427" s="13"/>
      <c r="H427" s="12"/>
      <c r="I427" s="11"/>
      <c r="J427" s="18"/>
      <c r="K427" s="18"/>
    </row>
    <row r="428" spans="3:11" x14ac:dyDescent="0.25">
      <c r="C428" s="11"/>
      <c r="D428" s="11"/>
      <c r="E428" s="11"/>
      <c r="F428" s="12"/>
      <c r="G428" s="13"/>
      <c r="H428" s="12"/>
      <c r="I428" s="11"/>
      <c r="J428" s="18"/>
      <c r="K428" s="18"/>
    </row>
    <row r="429" spans="3:11" x14ac:dyDescent="0.25">
      <c r="C429" s="11"/>
      <c r="D429" s="11"/>
      <c r="E429" s="11"/>
      <c r="F429" s="12"/>
      <c r="G429" s="13"/>
      <c r="H429" s="12"/>
      <c r="I429" s="11"/>
      <c r="J429" s="18"/>
      <c r="K429" s="18"/>
    </row>
    <row r="430" spans="3:11" x14ac:dyDescent="0.25">
      <c r="C430" s="11"/>
      <c r="D430" s="11"/>
      <c r="E430" s="11"/>
      <c r="F430" s="12"/>
      <c r="G430" s="13"/>
      <c r="H430" s="12"/>
      <c r="I430" s="11"/>
      <c r="J430" s="18"/>
      <c r="K430" s="18"/>
    </row>
    <row r="431" spans="3:11" x14ac:dyDescent="0.25">
      <c r="C431" s="11"/>
      <c r="D431" s="11"/>
      <c r="E431" s="11"/>
      <c r="F431" s="12"/>
      <c r="G431" s="13"/>
      <c r="H431" s="12"/>
      <c r="I431" s="11"/>
      <c r="J431" s="18"/>
      <c r="K431" s="18"/>
    </row>
    <row r="432" spans="3:11" x14ac:dyDescent="0.25">
      <c r="C432" s="11"/>
      <c r="D432" s="11"/>
      <c r="E432" s="11"/>
      <c r="F432" s="12"/>
      <c r="G432" s="13"/>
      <c r="H432" s="12"/>
      <c r="I432" s="11"/>
      <c r="J432" s="18"/>
      <c r="K432" s="18"/>
    </row>
    <row r="433" spans="3:11" x14ac:dyDescent="0.25">
      <c r="C433" s="11"/>
      <c r="D433" s="11"/>
      <c r="E433" s="11"/>
      <c r="F433" s="12"/>
      <c r="G433" s="13"/>
      <c r="H433" s="12"/>
      <c r="I433" s="11"/>
      <c r="J433" s="18"/>
      <c r="K433" s="18"/>
    </row>
    <row r="434" spans="3:11" x14ac:dyDescent="0.25">
      <c r="C434" s="11"/>
      <c r="D434" s="11"/>
      <c r="E434" s="11"/>
      <c r="F434" s="12"/>
      <c r="G434" s="13"/>
      <c r="H434" s="12"/>
      <c r="I434" s="11"/>
      <c r="J434" s="18"/>
      <c r="K434" s="18"/>
    </row>
    <row r="435" spans="3:11" x14ac:dyDescent="0.25">
      <c r="C435" s="11"/>
      <c r="D435" s="11"/>
      <c r="E435" s="11"/>
      <c r="F435" s="12"/>
      <c r="G435" s="13"/>
      <c r="H435" s="12"/>
      <c r="I435" s="11"/>
      <c r="J435" s="18"/>
      <c r="K435" s="18"/>
    </row>
    <row r="436" spans="3:11" x14ac:dyDescent="0.25">
      <c r="C436" s="11"/>
      <c r="D436" s="11"/>
      <c r="E436" s="11"/>
      <c r="F436" s="12"/>
      <c r="G436" s="13"/>
      <c r="H436" s="12"/>
      <c r="I436" s="11"/>
      <c r="J436" s="18"/>
      <c r="K436" s="18"/>
    </row>
    <row r="437" spans="3:11" x14ac:dyDescent="0.25">
      <c r="C437" s="11"/>
      <c r="D437" s="11"/>
      <c r="E437" s="11"/>
      <c r="F437" s="12"/>
      <c r="G437" s="13"/>
      <c r="H437" s="12"/>
      <c r="I437" s="11"/>
      <c r="J437" s="18"/>
      <c r="K437" s="18"/>
    </row>
    <row r="438" spans="3:11" x14ac:dyDescent="0.25">
      <c r="C438" s="11"/>
      <c r="D438" s="11"/>
      <c r="E438" s="11"/>
      <c r="F438" s="12"/>
      <c r="G438" s="13"/>
      <c r="H438" s="12"/>
      <c r="I438" s="11"/>
      <c r="J438" s="18"/>
      <c r="K438" s="18"/>
    </row>
    <row r="439" spans="3:11" x14ac:dyDescent="0.25">
      <c r="C439" s="11"/>
      <c r="D439" s="11"/>
      <c r="E439" s="11"/>
      <c r="F439" s="12"/>
      <c r="G439" s="13"/>
      <c r="H439" s="12"/>
      <c r="I439" s="11"/>
      <c r="J439" s="18"/>
      <c r="K439" s="18"/>
    </row>
    <row r="440" spans="3:11" x14ac:dyDescent="0.25">
      <c r="C440" s="11"/>
      <c r="D440" s="11"/>
      <c r="E440" s="11"/>
      <c r="F440" s="12"/>
      <c r="G440" s="13"/>
      <c r="H440" s="12"/>
      <c r="I440" s="11"/>
      <c r="J440" s="18"/>
      <c r="K440" s="18"/>
    </row>
    <row r="441" spans="3:11" x14ac:dyDescent="0.25">
      <c r="C441" s="11"/>
      <c r="D441" s="11"/>
      <c r="E441" s="11"/>
      <c r="F441" s="12"/>
      <c r="G441" s="13"/>
      <c r="H441" s="12"/>
      <c r="I441" s="11"/>
      <c r="J441" s="18"/>
      <c r="K441" s="18"/>
    </row>
    <row r="442" spans="3:11" x14ac:dyDescent="0.25">
      <c r="C442" s="11"/>
      <c r="D442" s="11"/>
      <c r="E442" s="11"/>
      <c r="F442" s="12"/>
      <c r="G442" s="13"/>
      <c r="H442" s="12"/>
      <c r="I442" s="11"/>
      <c r="J442" s="18"/>
      <c r="K442" s="18"/>
    </row>
    <row r="443" spans="3:11" x14ac:dyDescent="0.25">
      <c r="C443" s="11"/>
      <c r="D443" s="11"/>
      <c r="E443" s="11"/>
      <c r="F443" s="12"/>
      <c r="G443" s="13"/>
      <c r="H443" s="12"/>
      <c r="I443" s="11"/>
      <c r="J443" s="18"/>
      <c r="K443" s="18"/>
    </row>
    <row r="444" spans="3:11" x14ac:dyDescent="0.25">
      <c r="C444" s="11"/>
      <c r="D444" s="11"/>
      <c r="E444" s="11"/>
      <c r="F444" s="12"/>
      <c r="G444" s="13"/>
      <c r="H444" s="12"/>
      <c r="I444" s="11"/>
      <c r="J444" s="18"/>
      <c r="K444" s="18"/>
    </row>
    <row r="445" spans="3:11" x14ac:dyDescent="0.25">
      <c r="C445" s="11"/>
      <c r="D445" s="11"/>
      <c r="E445" s="11"/>
      <c r="F445" s="12"/>
      <c r="G445" s="13"/>
      <c r="H445" s="12"/>
      <c r="I445" s="11"/>
      <c r="J445" s="18"/>
      <c r="K445" s="18"/>
    </row>
    <row r="446" spans="3:11" x14ac:dyDescent="0.25">
      <c r="C446" s="11"/>
      <c r="D446" s="11"/>
      <c r="E446" s="11"/>
      <c r="F446" s="12"/>
      <c r="G446" s="13"/>
      <c r="H446" s="12"/>
      <c r="I446" s="11"/>
      <c r="J446" s="18"/>
      <c r="K446" s="18"/>
    </row>
    <row r="447" spans="3:11" x14ac:dyDescent="0.25">
      <c r="C447" s="11"/>
      <c r="D447" s="11"/>
      <c r="E447" s="11"/>
      <c r="F447" s="12"/>
      <c r="G447" s="13"/>
      <c r="H447" s="12"/>
      <c r="I447" s="11"/>
      <c r="J447" s="18"/>
      <c r="K447" s="18"/>
    </row>
    <row r="448" spans="3:11" x14ac:dyDescent="0.25">
      <c r="C448" s="11"/>
      <c r="D448" s="11"/>
      <c r="E448" s="11"/>
      <c r="F448" s="12"/>
      <c r="G448" s="13"/>
      <c r="H448" s="12"/>
      <c r="I448" s="11"/>
      <c r="J448" s="18"/>
      <c r="K448" s="18"/>
    </row>
    <row r="449" spans="3:11" x14ac:dyDescent="0.25">
      <c r="C449" s="11"/>
      <c r="D449" s="11"/>
      <c r="E449" s="11"/>
      <c r="F449" s="12"/>
      <c r="G449" s="13"/>
      <c r="H449" s="12"/>
      <c r="I449" s="11"/>
      <c r="J449" s="18"/>
      <c r="K449" s="18"/>
    </row>
    <row r="450" spans="3:11" x14ac:dyDescent="0.25">
      <c r="C450" s="11"/>
      <c r="D450" s="11"/>
      <c r="E450" s="11"/>
      <c r="F450" s="12"/>
      <c r="G450" s="13"/>
      <c r="H450" s="12"/>
      <c r="I450" s="11"/>
      <c r="J450" s="18"/>
      <c r="K450" s="18"/>
    </row>
    <row r="451" spans="3:11" x14ac:dyDescent="0.25">
      <c r="C451" s="11"/>
      <c r="D451" s="11"/>
      <c r="E451" s="11"/>
      <c r="F451" s="12"/>
      <c r="G451" s="13"/>
      <c r="H451" s="12"/>
      <c r="I451" s="11"/>
      <c r="J451" s="18"/>
      <c r="K451" s="18"/>
    </row>
    <row r="452" spans="3:11" x14ac:dyDescent="0.25">
      <c r="C452" s="11"/>
      <c r="D452" s="11"/>
      <c r="E452" s="11"/>
      <c r="F452" s="12"/>
      <c r="G452" s="13"/>
      <c r="H452" s="12"/>
      <c r="I452" s="11"/>
      <c r="J452" s="18"/>
      <c r="K452" s="18"/>
    </row>
    <row r="453" spans="3:11" x14ac:dyDescent="0.25">
      <c r="C453" s="11"/>
      <c r="D453" s="11"/>
      <c r="E453" s="11"/>
      <c r="F453" s="12"/>
      <c r="G453" s="13"/>
      <c r="H453" s="12"/>
      <c r="I453" s="11"/>
      <c r="J453" s="18"/>
      <c r="K453" s="18"/>
    </row>
    <row r="454" spans="3:11" x14ac:dyDescent="0.25">
      <c r="C454" s="11"/>
      <c r="D454" s="11"/>
      <c r="E454" s="11"/>
      <c r="F454" s="12"/>
      <c r="G454" s="13"/>
      <c r="H454" s="12"/>
      <c r="I454" s="11"/>
      <c r="J454" s="18"/>
      <c r="K454" s="18"/>
    </row>
    <row r="455" spans="3:11" x14ac:dyDescent="0.25">
      <c r="C455" s="11"/>
      <c r="D455" s="11"/>
      <c r="E455" s="11"/>
      <c r="F455" s="12"/>
      <c r="G455" s="13"/>
      <c r="H455" s="12"/>
      <c r="I455" s="11"/>
      <c r="J455" s="18"/>
      <c r="K455" s="18"/>
    </row>
    <row r="456" spans="3:11" x14ac:dyDescent="0.25">
      <c r="C456" s="11"/>
      <c r="D456" s="11"/>
      <c r="E456" s="11"/>
      <c r="F456" s="12"/>
      <c r="G456" s="13"/>
      <c r="H456" s="12"/>
      <c r="I456" s="11"/>
      <c r="J456" s="18"/>
      <c r="K456" s="18"/>
    </row>
    <row r="457" spans="3:11" x14ac:dyDescent="0.25">
      <c r="C457" s="11"/>
      <c r="D457" s="11"/>
      <c r="E457" s="11"/>
      <c r="F457" s="12"/>
      <c r="G457" s="13"/>
      <c r="H457" s="12"/>
      <c r="I457" s="11"/>
      <c r="J457" s="18"/>
      <c r="K457" s="18"/>
    </row>
    <row r="458" spans="3:11" x14ac:dyDescent="0.25">
      <c r="C458" s="11"/>
      <c r="D458" s="11"/>
      <c r="E458" s="11"/>
      <c r="F458" s="12"/>
      <c r="G458" s="13"/>
      <c r="H458" s="12"/>
      <c r="I458" s="11"/>
      <c r="J458" s="18"/>
      <c r="K458" s="18"/>
    </row>
    <row r="459" spans="3:11" x14ac:dyDescent="0.25">
      <c r="C459" s="11"/>
      <c r="D459" s="11"/>
      <c r="E459" s="11"/>
      <c r="F459" s="12"/>
      <c r="G459" s="13"/>
      <c r="H459" s="12"/>
      <c r="I459" s="11"/>
      <c r="J459" s="18"/>
      <c r="K459" s="18"/>
    </row>
    <row r="460" spans="3:11" x14ac:dyDescent="0.25">
      <c r="C460" s="11"/>
      <c r="D460" s="11"/>
      <c r="E460" s="11"/>
      <c r="F460" s="12"/>
      <c r="G460" s="13"/>
      <c r="H460" s="12"/>
      <c r="I460" s="11"/>
      <c r="J460" s="18"/>
      <c r="K460" s="18"/>
    </row>
    <row r="461" spans="3:11" x14ac:dyDescent="0.25">
      <c r="C461" s="11"/>
      <c r="D461" s="11"/>
      <c r="E461" s="11"/>
      <c r="F461" s="12"/>
      <c r="G461" s="13"/>
      <c r="H461" s="12"/>
      <c r="I461" s="11"/>
      <c r="J461" s="18"/>
      <c r="K461" s="18"/>
    </row>
    <row r="462" spans="3:11" x14ac:dyDescent="0.25">
      <c r="C462" s="11"/>
      <c r="D462" s="11"/>
      <c r="E462" s="11"/>
      <c r="F462" s="12"/>
      <c r="G462" s="13"/>
      <c r="H462" s="12"/>
      <c r="I462" s="11"/>
      <c r="J462" s="18"/>
      <c r="K462" s="18"/>
    </row>
    <row r="463" spans="3:11" x14ac:dyDescent="0.25">
      <c r="C463" s="11"/>
      <c r="D463" s="11"/>
      <c r="E463" s="11"/>
      <c r="F463" s="12"/>
      <c r="G463" s="13"/>
      <c r="H463" s="12"/>
      <c r="I463" s="11"/>
      <c r="J463" s="18"/>
      <c r="K463" s="18"/>
    </row>
    <row r="464" spans="3:11" x14ac:dyDescent="0.25">
      <c r="C464" s="11"/>
      <c r="D464" s="11"/>
      <c r="E464" s="11"/>
      <c r="F464" s="12"/>
      <c r="G464" s="13"/>
      <c r="H464" s="12"/>
      <c r="I464" s="11"/>
      <c r="J464" s="18"/>
      <c r="K464" s="18"/>
    </row>
    <row r="465" spans="3:11" x14ac:dyDescent="0.25">
      <c r="C465" s="11"/>
      <c r="D465" s="11"/>
      <c r="E465" s="11"/>
      <c r="F465" s="12"/>
      <c r="G465" s="13"/>
      <c r="H465" s="12"/>
      <c r="I465" s="11"/>
      <c r="J465" s="18"/>
      <c r="K465" s="18"/>
    </row>
    <row r="466" spans="3:11" x14ac:dyDescent="0.25">
      <c r="C466" s="11"/>
      <c r="D466" s="11"/>
      <c r="E466" s="11"/>
      <c r="F466" s="12"/>
      <c r="G466" s="13"/>
      <c r="H466" s="12"/>
      <c r="I466" s="11"/>
      <c r="J466" s="18"/>
      <c r="K466" s="18"/>
    </row>
    <row r="467" spans="3:11" x14ac:dyDescent="0.25">
      <c r="C467" s="11"/>
      <c r="D467" s="11"/>
      <c r="E467" s="11"/>
      <c r="F467" s="12"/>
      <c r="G467" s="13"/>
      <c r="H467" s="12"/>
      <c r="I467" s="11"/>
      <c r="J467" s="18"/>
      <c r="K467" s="18"/>
    </row>
    <row r="468" spans="3:11" x14ac:dyDescent="0.25">
      <c r="C468" s="11"/>
      <c r="D468" s="11"/>
      <c r="E468" s="11"/>
      <c r="F468" s="12"/>
      <c r="G468" s="13"/>
      <c r="H468" s="12"/>
      <c r="I468" s="11"/>
      <c r="J468" s="18"/>
      <c r="K468" s="18"/>
    </row>
    <row r="469" spans="3:11" x14ac:dyDescent="0.25">
      <c r="C469" s="11"/>
      <c r="D469" s="11"/>
      <c r="E469" s="11"/>
      <c r="F469" s="12"/>
      <c r="G469" s="13"/>
      <c r="H469" s="12"/>
      <c r="I469" s="11"/>
      <c r="J469" s="18"/>
      <c r="K469" s="18"/>
    </row>
    <row r="470" spans="3:11" x14ac:dyDescent="0.25">
      <c r="C470" s="11"/>
      <c r="D470" s="11"/>
      <c r="E470" s="11"/>
      <c r="F470" s="12"/>
      <c r="G470" s="13"/>
      <c r="H470" s="12"/>
      <c r="I470" s="11"/>
      <c r="J470" s="18"/>
      <c r="K470" s="18"/>
    </row>
    <row r="471" spans="3:11" x14ac:dyDescent="0.25">
      <c r="C471" s="11"/>
      <c r="D471" s="11"/>
      <c r="E471" s="11"/>
      <c r="F471" s="12"/>
      <c r="G471" s="13"/>
      <c r="H471" s="12"/>
      <c r="I471" s="11"/>
      <c r="J471" s="18"/>
      <c r="K471" s="18"/>
    </row>
    <row r="472" spans="3:11" x14ac:dyDescent="0.25">
      <c r="C472" s="11"/>
      <c r="D472" s="11"/>
      <c r="E472" s="11"/>
      <c r="F472" s="12"/>
      <c r="G472" s="13"/>
      <c r="H472" s="12"/>
      <c r="I472" s="11"/>
      <c r="J472" s="18"/>
      <c r="K472" s="18"/>
    </row>
    <row r="473" spans="3:11" x14ac:dyDescent="0.25">
      <c r="C473" s="11"/>
      <c r="D473" s="11"/>
      <c r="E473" s="11"/>
      <c r="F473" s="12"/>
      <c r="G473" s="13"/>
      <c r="H473" s="12"/>
      <c r="I473" s="11"/>
      <c r="J473" s="18"/>
      <c r="K473" s="18"/>
    </row>
    <row r="474" spans="3:11" x14ac:dyDescent="0.25">
      <c r="C474" s="11"/>
      <c r="D474" s="11"/>
      <c r="E474" s="11"/>
      <c r="F474" s="12"/>
      <c r="G474" s="13"/>
      <c r="H474" s="12"/>
      <c r="I474" s="11"/>
      <c r="J474" s="18"/>
      <c r="K474" s="18"/>
    </row>
    <row r="475" spans="3:11" x14ac:dyDescent="0.25">
      <c r="C475" s="11"/>
      <c r="D475" s="11"/>
      <c r="E475" s="11"/>
      <c r="F475" s="12"/>
      <c r="G475" s="13"/>
      <c r="H475" s="12"/>
      <c r="I475" s="11"/>
      <c r="J475" s="18"/>
      <c r="K475" s="18"/>
    </row>
    <row r="476" spans="3:11" x14ac:dyDescent="0.25">
      <c r="C476" s="11"/>
      <c r="D476" s="11"/>
      <c r="E476" s="11"/>
      <c r="F476" s="12"/>
      <c r="G476" s="13"/>
      <c r="H476" s="12"/>
      <c r="I476" s="11"/>
      <c r="J476" s="18"/>
      <c r="K476" s="18"/>
    </row>
    <row r="477" spans="3:11" x14ac:dyDescent="0.25">
      <c r="C477" s="11"/>
      <c r="D477" s="11"/>
      <c r="E477" s="11"/>
      <c r="F477" s="12"/>
      <c r="G477" s="13"/>
      <c r="H477" s="12"/>
      <c r="I477" s="11"/>
      <c r="J477" s="18"/>
      <c r="K477" s="18"/>
    </row>
    <row r="478" spans="3:11" x14ac:dyDescent="0.25">
      <c r="C478" s="11"/>
      <c r="D478" s="11"/>
      <c r="E478" s="11"/>
      <c r="F478" s="12"/>
      <c r="G478" s="13"/>
      <c r="H478" s="12"/>
      <c r="I478" s="11"/>
      <c r="J478" s="18"/>
      <c r="K478" s="18"/>
    </row>
    <row r="479" spans="3:11" x14ac:dyDescent="0.25">
      <c r="C479" s="11"/>
      <c r="D479" s="11"/>
      <c r="E479" s="11"/>
      <c r="F479" s="12"/>
      <c r="G479" s="13"/>
      <c r="H479" s="12"/>
      <c r="I479" s="11"/>
      <c r="J479" s="18"/>
      <c r="K479" s="18"/>
    </row>
    <row r="480" spans="3:11" x14ac:dyDescent="0.25">
      <c r="C480" s="11"/>
      <c r="D480" s="11"/>
      <c r="E480" s="11"/>
      <c r="F480" s="12"/>
      <c r="G480" s="13"/>
      <c r="H480" s="12"/>
      <c r="I480" s="11"/>
      <c r="J480" s="18"/>
      <c r="K480" s="18"/>
    </row>
    <row r="481" spans="3:11" x14ac:dyDescent="0.25">
      <c r="C481" s="11"/>
      <c r="D481" s="11"/>
      <c r="E481" s="11"/>
      <c r="F481" s="12"/>
      <c r="G481" s="13"/>
      <c r="H481" s="12"/>
      <c r="I481" s="11"/>
      <c r="J481" s="18"/>
      <c r="K481" s="18"/>
    </row>
    <row r="482" spans="3:11" x14ac:dyDescent="0.25">
      <c r="C482" s="11"/>
      <c r="D482" s="11"/>
      <c r="E482" s="11"/>
      <c r="F482" s="12"/>
      <c r="G482" s="13"/>
      <c r="H482" s="12"/>
      <c r="I482" s="11"/>
      <c r="J482" s="18"/>
      <c r="K482" s="18"/>
    </row>
    <row r="483" spans="3:11" x14ac:dyDescent="0.25">
      <c r="C483" s="11"/>
      <c r="D483" s="11"/>
      <c r="E483" s="11"/>
      <c r="F483" s="12"/>
      <c r="G483" s="13"/>
      <c r="H483" s="12"/>
      <c r="I483" s="11"/>
      <c r="J483" s="18"/>
      <c r="K483" s="18"/>
    </row>
    <row r="484" spans="3:11" x14ac:dyDescent="0.25">
      <c r="C484" s="11"/>
      <c r="D484" s="11"/>
      <c r="E484" s="11"/>
      <c r="F484" s="12"/>
      <c r="G484" s="13"/>
      <c r="H484" s="12"/>
      <c r="I484" s="11"/>
      <c r="J484" s="18"/>
      <c r="K484" s="18"/>
    </row>
    <row r="485" spans="3:11" x14ac:dyDescent="0.25">
      <c r="C485" s="11"/>
      <c r="D485" s="11"/>
      <c r="E485" s="11"/>
      <c r="F485" s="12"/>
      <c r="G485" s="13"/>
      <c r="H485" s="12"/>
      <c r="I485" s="11"/>
      <c r="J485" s="18"/>
      <c r="K485" s="18"/>
    </row>
    <row r="486" spans="3:11" x14ac:dyDescent="0.25">
      <c r="C486" s="11"/>
      <c r="D486" s="11"/>
      <c r="E486" s="11"/>
      <c r="F486" s="12"/>
      <c r="G486" s="13"/>
      <c r="H486" s="12"/>
      <c r="I486" s="11"/>
      <c r="J486" s="18"/>
      <c r="K486" s="18"/>
    </row>
    <row r="487" spans="3:11" x14ac:dyDescent="0.25">
      <c r="C487" s="11"/>
      <c r="D487" s="11"/>
      <c r="E487" s="11"/>
      <c r="F487" s="12"/>
      <c r="G487" s="13"/>
      <c r="H487" s="12"/>
      <c r="I487" s="11"/>
      <c r="J487" s="18"/>
      <c r="K487" s="18"/>
    </row>
    <row r="488" spans="3:11" x14ac:dyDescent="0.25">
      <c r="C488" s="11"/>
      <c r="D488" s="11"/>
      <c r="E488" s="11"/>
      <c r="F488" s="12"/>
      <c r="G488" s="13"/>
      <c r="H488" s="12"/>
      <c r="I488" s="11"/>
      <c r="J488" s="18"/>
      <c r="K488" s="18"/>
    </row>
    <row r="489" spans="3:11" x14ac:dyDescent="0.25">
      <c r="C489" s="11"/>
      <c r="D489" s="11"/>
      <c r="E489" s="11"/>
      <c r="F489" s="12"/>
      <c r="G489" s="13"/>
      <c r="H489" s="12"/>
      <c r="I489" s="11"/>
      <c r="J489" s="18"/>
      <c r="K489" s="18"/>
    </row>
    <row r="490" spans="3:11" x14ac:dyDescent="0.25">
      <c r="C490" s="11"/>
      <c r="D490" s="11"/>
      <c r="E490" s="11"/>
      <c r="F490" s="12"/>
      <c r="G490" s="13"/>
      <c r="H490" s="12"/>
      <c r="I490" s="11"/>
      <c r="J490" s="18"/>
      <c r="K490" s="18"/>
    </row>
    <row r="491" spans="3:11" x14ac:dyDescent="0.25">
      <c r="C491" s="11"/>
      <c r="D491" s="11"/>
      <c r="E491" s="11"/>
      <c r="F491" s="12"/>
      <c r="G491" s="13"/>
      <c r="H491" s="12"/>
      <c r="I491" s="11"/>
      <c r="J491" s="18"/>
      <c r="K491" s="18"/>
    </row>
    <row r="492" spans="3:11" x14ac:dyDescent="0.25">
      <c r="C492" s="11"/>
      <c r="D492" s="11"/>
      <c r="E492" s="11"/>
      <c r="F492" s="12"/>
      <c r="G492" s="13"/>
      <c r="H492" s="12"/>
      <c r="I492" s="11"/>
      <c r="J492" s="18"/>
      <c r="K492" s="18"/>
    </row>
    <row r="493" spans="3:11" x14ac:dyDescent="0.25">
      <c r="C493" s="11"/>
      <c r="D493" s="11"/>
      <c r="E493" s="11"/>
      <c r="F493" s="12"/>
      <c r="G493" s="13"/>
      <c r="H493" s="12"/>
      <c r="I493" s="11"/>
      <c r="J493" s="18"/>
      <c r="K493" s="18"/>
    </row>
    <row r="494" spans="3:11" x14ac:dyDescent="0.25">
      <c r="C494" s="11"/>
      <c r="D494" s="11"/>
      <c r="E494" s="11"/>
      <c r="F494" s="12"/>
      <c r="G494" s="13"/>
      <c r="H494" s="12"/>
      <c r="I494" s="11"/>
      <c r="J494" s="18"/>
      <c r="K494" s="18"/>
    </row>
    <row r="495" spans="3:11" x14ac:dyDescent="0.25">
      <c r="C495" s="11"/>
      <c r="D495" s="11"/>
      <c r="E495" s="11"/>
      <c r="F495" s="12"/>
      <c r="G495" s="13"/>
      <c r="H495" s="12"/>
      <c r="I495" s="11"/>
      <c r="J495" s="18"/>
      <c r="K495" s="18"/>
    </row>
    <row r="496" spans="3:11" x14ac:dyDescent="0.25">
      <c r="C496" s="11"/>
      <c r="D496" s="11"/>
      <c r="E496" s="11"/>
      <c r="F496" s="12"/>
      <c r="G496" s="13"/>
      <c r="H496" s="12"/>
      <c r="I496" s="11"/>
      <c r="J496" s="18"/>
      <c r="K496" s="18"/>
    </row>
    <row r="497" spans="3:11" x14ac:dyDescent="0.25">
      <c r="C497" s="11"/>
      <c r="D497" s="11"/>
      <c r="E497" s="11"/>
      <c r="F497" s="12"/>
      <c r="G497" s="13"/>
      <c r="H497" s="12"/>
      <c r="I497" s="11"/>
      <c r="J497" s="18"/>
      <c r="K497" s="18"/>
    </row>
    <row r="498" spans="3:11" x14ac:dyDescent="0.25">
      <c r="C498" s="11"/>
      <c r="D498" s="11"/>
      <c r="E498" s="11"/>
      <c r="F498" s="12"/>
      <c r="G498" s="13"/>
      <c r="H498" s="12"/>
      <c r="I498" s="11"/>
      <c r="J498" s="18"/>
      <c r="K498" s="18"/>
    </row>
    <row r="499" spans="3:11" x14ac:dyDescent="0.25">
      <c r="C499" s="11"/>
      <c r="D499" s="11"/>
      <c r="E499" s="11"/>
      <c r="F499" s="12"/>
      <c r="G499" s="13"/>
      <c r="H499" s="12"/>
      <c r="I499" s="11"/>
      <c r="J499" s="18"/>
      <c r="K499" s="18"/>
    </row>
    <row r="500" spans="3:11" x14ac:dyDescent="0.25">
      <c r="C500" s="11"/>
      <c r="D500" s="11"/>
      <c r="E500" s="11"/>
      <c r="F500" s="12"/>
      <c r="G500" s="13"/>
      <c r="H500" s="12"/>
      <c r="I500" s="11"/>
      <c r="J500" s="18"/>
      <c r="K500" s="18"/>
    </row>
    <row r="501" spans="3:11" x14ac:dyDescent="0.25">
      <c r="C501" s="11"/>
      <c r="D501" s="11"/>
      <c r="E501" s="11"/>
      <c r="F501" s="12"/>
      <c r="G501" s="13"/>
      <c r="H501" s="12"/>
      <c r="I501" s="11"/>
      <c r="J501" s="18"/>
      <c r="K501" s="18"/>
    </row>
    <row r="502" spans="3:11" x14ac:dyDescent="0.25">
      <c r="C502" s="11"/>
      <c r="D502" s="11"/>
      <c r="E502" s="11"/>
      <c r="F502" s="12"/>
      <c r="G502" s="13"/>
      <c r="H502" s="12"/>
      <c r="I502" s="11"/>
      <c r="J502" s="18"/>
      <c r="K502" s="18"/>
    </row>
    <row r="503" spans="3:11" x14ac:dyDescent="0.25">
      <c r="C503" s="11"/>
      <c r="D503" s="11"/>
      <c r="E503" s="11"/>
      <c r="F503" s="12"/>
      <c r="G503" s="13"/>
      <c r="H503" s="12"/>
      <c r="I503" s="11"/>
      <c r="J503" s="18"/>
      <c r="K503" s="18"/>
    </row>
    <row r="504" spans="3:11" x14ac:dyDescent="0.25">
      <c r="C504" s="11"/>
      <c r="D504" s="11"/>
      <c r="E504" s="11"/>
      <c r="F504" s="12"/>
      <c r="G504" s="13"/>
      <c r="H504" s="12"/>
      <c r="I504" s="11"/>
      <c r="J504" s="18"/>
      <c r="K504" s="18"/>
    </row>
    <row r="505" spans="3:11" x14ac:dyDescent="0.25">
      <c r="C505" s="11"/>
      <c r="D505" s="11"/>
      <c r="E505" s="11"/>
      <c r="F505" s="12"/>
      <c r="G505" s="13"/>
      <c r="H505" s="12"/>
      <c r="I505" s="11"/>
      <c r="J505" s="18"/>
      <c r="K505" s="18"/>
    </row>
    <row r="506" spans="3:11" x14ac:dyDescent="0.25">
      <c r="C506" s="11"/>
      <c r="D506" s="11"/>
      <c r="E506" s="11"/>
      <c r="F506" s="12"/>
      <c r="G506" s="13"/>
      <c r="H506" s="12"/>
      <c r="I506" s="11"/>
      <c r="J506" s="18"/>
      <c r="K506" s="18"/>
    </row>
    <row r="507" spans="3:11" x14ac:dyDescent="0.25">
      <c r="C507" s="11"/>
      <c r="D507" s="11"/>
      <c r="E507" s="11"/>
      <c r="F507" s="12"/>
      <c r="G507" s="13"/>
      <c r="H507" s="12"/>
      <c r="I507" s="11"/>
      <c r="J507" s="18"/>
      <c r="K507" s="18"/>
    </row>
    <row r="508" spans="3:11" x14ac:dyDescent="0.25">
      <c r="C508" s="11"/>
      <c r="D508" s="11"/>
      <c r="E508" s="11"/>
      <c r="F508" s="12"/>
      <c r="G508" s="13"/>
      <c r="H508" s="12"/>
      <c r="I508" s="11"/>
      <c r="J508" s="18"/>
      <c r="K508" s="18"/>
    </row>
    <row r="509" spans="3:11" x14ac:dyDescent="0.25">
      <c r="C509" s="11"/>
      <c r="D509" s="11"/>
      <c r="E509" s="11"/>
      <c r="F509" s="12"/>
      <c r="G509" s="13"/>
      <c r="H509" s="12"/>
      <c r="I509" s="11"/>
      <c r="J509" s="18"/>
      <c r="K509" s="18"/>
    </row>
    <row r="510" spans="3:11" x14ac:dyDescent="0.25">
      <c r="C510" s="11"/>
      <c r="D510" s="11"/>
      <c r="E510" s="11"/>
      <c r="F510" s="12"/>
      <c r="G510" s="13"/>
      <c r="H510" s="12"/>
      <c r="I510" s="11"/>
      <c r="J510" s="18"/>
      <c r="K510" s="18"/>
    </row>
    <row r="511" spans="3:11" x14ac:dyDescent="0.25">
      <c r="C511" s="11"/>
      <c r="D511" s="11"/>
      <c r="E511" s="11"/>
      <c r="F511" s="12"/>
      <c r="G511" s="13"/>
      <c r="H511" s="12"/>
      <c r="I511" s="11"/>
      <c r="J511" s="18"/>
      <c r="K511" s="18"/>
    </row>
    <row r="512" spans="3:11" x14ac:dyDescent="0.25">
      <c r="C512" s="11"/>
      <c r="D512" s="11"/>
      <c r="E512" s="11"/>
      <c r="F512" s="12"/>
      <c r="G512" s="13"/>
      <c r="H512" s="12"/>
      <c r="I512" s="11"/>
      <c r="J512" s="18"/>
      <c r="K512" s="18"/>
    </row>
    <row r="513" spans="3:11" x14ac:dyDescent="0.25">
      <c r="C513" s="11"/>
      <c r="D513" s="11"/>
      <c r="E513" s="11"/>
      <c r="F513" s="12"/>
      <c r="G513" s="13"/>
      <c r="H513" s="12"/>
      <c r="I513" s="11"/>
      <c r="J513" s="18"/>
      <c r="K513" s="18"/>
    </row>
    <row r="514" spans="3:11" x14ac:dyDescent="0.25">
      <c r="C514" s="11"/>
      <c r="D514" s="11"/>
      <c r="E514" s="11"/>
      <c r="F514" s="12"/>
      <c r="G514" s="13"/>
      <c r="H514" s="12"/>
      <c r="I514" s="11"/>
      <c r="J514" s="18"/>
      <c r="K514" s="18"/>
    </row>
    <row r="515" spans="3:11" x14ac:dyDescent="0.25">
      <c r="C515" s="11"/>
      <c r="D515" s="11"/>
      <c r="E515" s="11"/>
      <c r="F515" s="12"/>
      <c r="G515" s="13"/>
      <c r="H515" s="12"/>
      <c r="I515" s="11"/>
      <c r="J515" s="18"/>
      <c r="K515" s="18"/>
    </row>
    <row r="516" spans="3:11" x14ac:dyDescent="0.25">
      <c r="C516" s="11"/>
      <c r="D516" s="11"/>
      <c r="E516" s="11"/>
      <c r="F516" s="12"/>
      <c r="G516" s="13"/>
      <c r="H516" s="12"/>
      <c r="I516" s="11"/>
      <c r="J516" s="18"/>
      <c r="K516" s="18"/>
    </row>
    <row r="517" spans="3:11" x14ac:dyDescent="0.25">
      <c r="C517" s="11"/>
      <c r="D517" s="11"/>
      <c r="E517" s="11"/>
      <c r="F517" s="12"/>
      <c r="G517" s="13"/>
      <c r="H517" s="12"/>
      <c r="I517" s="11"/>
      <c r="J517" s="18"/>
      <c r="K517" s="18"/>
    </row>
    <row r="518" spans="3:11" x14ac:dyDescent="0.25">
      <c r="C518" s="11"/>
      <c r="D518" s="11"/>
      <c r="E518" s="11"/>
      <c r="F518" s="12"/>
      <c r="G518" s="13"/>
      <c r="H518" s="12"/>
      <c r="I518" s="11"/>
      <c r="J518" s="18"/>
      <c r="K518" s="18"/>
    </row>
    <row r="519" spans="3:11" x14ac:dyDescent="0.25">
      <c r="C519" s="11"/>
      <c r="D519" s="11"/>
      <c r="E519" s="11"/>
      <c r="F519" s="12"/>
      <c r="G519" s="13"/>
      <c r="H519" s="12"/>
      <c r="I519" s="11"/>
      <c r="J519" s="18"/>
      <c r="K519" s="18"/>
    </row>
    <row r="520" spans="3:11" x14ac:dyDescent="0.25">
      <c r="C520" s="11"/>
      <c r="D520" s="11"/>
      <c r="E520" s="11"/>
      <c r="F520" s="12"/>
      <c r="G520" s="13"/>
      <c r="H520" s="12"/>
      <c r="I520" s="11"/>
      <c r="J520" s="18"/>
      <c r="K520" s="18"/>
    </row>
    <row r="521" spans="3:11" x14ac:dyDescent="0.25">
      <c r="C521" s="11"/>
      <c r="D521" s="11"/>
      <c r="E521" s="11"/>
      <c r="F521" s="12"/>
      <c r="G521" s="13"/>
      <c r="H521" s="12"/>
      <c r="I521" s="11"/>
      <c r="J521" s="18"/>
      <c r="K521" s="18"/>
    </row>
    <row r="522" spans="3:11" x14ac:dyDescent="0.25">
      <c r="C522" s="11"/>
      <c r="D522" s="11"/>
      <c r="E522" s="11"/>
      <c r="F522" s="12"/>
      <c r="G522" s="13"/>
      <c r="H522" s="12"/>
      <c r="I522" s="11"/>
      <c r="J522" s="18"/>
      <c r="K522" s="18"/>
    </row>
    <row r="523" spans="3:11" x14ac:dyDescent="0.25">
      <c r="C523" s="11"/>
      <c r="D523" s="11"/>
      <c r="E523" s="11"/>
      <c r="F523" s="12"/>
      <c r="G523" s="13"/>
      <c r="H523" s="12"/>
      <c r="I523" s="11"/>
      <c r="J523" s="18"/>
      <c r="K523" s="18"/>
    </row>
    <row r="524" spans="3:11" x14ac:dyDescent="0.25">
      <c r="C524" s="11"/>
      <c r="D524" s="11"/>
      <c r="E524" s="11"/>
      <c r="F524" s="12"/>
      <c r="G524" s="13"/>
      <c r="H524" s="12"/>
      <c r="I524" s="11"/>
      <c r="J524" s="18"/>
      <c r="K524" s="18"/>
    </row>
    <row r="525" spans="3:11" x14ac:dyDescent="0.25">
      <c r="C525" s="11"/>
      <c r="D525" s="11"/>
      <c r="E525" s="11"/>
      <c r="F525" s="12"/>
      <c r="G525" s="13"/>
      <c r="H525" s="12"/>
      <c r="I525" s="11"/>
      <c r="J525" s="18"/>
      <c r="K525" s="18"/>
    </row>
    <row r="526" spans="3:11" x14ac:dyDescent="0.25">
      <c r="C526" s="11"/>
      <c r="D526" s="11"/>
      <c r="E526" s="11"/>
      <c r="F526" s="12"/>
      <c r="G526" s="13"/>
      <c r="H526" s="12"/>
      <c r="I526" s="11"/>
      <c r="J526" s="18"/>
      <c r="K526" s="18"/>
    </row>
    <row r="527" spans="3:11" x14ac:dyDescent="0.25">
      <c r="C527" s="11"/>
      <c r="D527" s="11"/>
      <c r="E527" s="11"/>
      <c r="F527" s="12"/>
      <c r="G527" s="13"/>
      <c r="H527" s="12"/>
      <c r="I527" s="11"/>
      <c r="J527" s="18"/>
      <c r="K527" s="18"/>
    </row>
    <row r="528" spans="3:11" x14ac:dyDescent="0.25">
      <c r="C528" s="11"/>
      <c r="D528" s="11"/>
      <c r="E528" s="11"/>
      <c r="F528" s="12"/>
      <c r="G528" s="13"/>
      <c r="H528" s="12"/>
      <c r="I528" s="11"/>
      <c r="J528" s="18"/>
      <c r="K528" s="18"/>
    </row>
    <row r="529" spans="3:11" x14ac:dyDescent="0.25">
      <c r="C529" s="11"/>
      <c r="D529" s="11"/>
      <c r="E529" s="11"/>
      <c r="F529" s="12"/>
      <c r="G529" s="13"/>
      <c r="H529" s="12"/>
      <c r="I529" s="11"/>
      <c r="J529" s="18"/>
      <c r="K529" s="18"/>
    </row>
    <row r="530" spans="3:11" x14ac:dyDescent="0.25">
      <c r="C530" s="11"/>
      <c r="D530" s="11"/>
      <c r="E530" s="11"/>
      <c r="F530" s="12"/>
      <c r="G530" s="13"/>
      <c r="H530" s="12"/>
      <c r="I530" s="11"/>
      <c r="J530" s="18"/>
      <c r="K530" s="18"/>
    </row>
    <row r="531" spans="3:11" x14ac:dyDescent="0.25">
      <c r="C531" s="11"/>
      <c r="D531" s="11"/>
      <c r="E531" s="11"/>
      <c r="F531" s="12"/>
      <c r="G531" s="13"/>
      <c r="H531" s="12"/>
      <c r="I531" s="11"/>
      <c r="J531" s="18"/>
      <c r="K531" s="18"/>
    </row>
    <row r="532" spans="3:11" x14ac:dyDescent="0.25">
      <c r="C532" s="11"/>
      <c r="D532" s="11"/>
      <c r="E532" s="11"/>
      <c r="F532" s="12"/>
      <c r="G532" s="13"/>
      <c r="H532" s="12"/>
      <c r="I532" s="11"/>
      <c r="J532" s="18"/>
      <c r="K532" s="18"/>
    </row>
    <row r="533" spans="3:11" x14ac:dyDescent="0.25">
      <c r="C533" s="11"/>
      <c r="D533" s="11"/>
      <c r="E533" s="11"/>
      <c r="F533" s="12"/>
      <c r="G533" s="13"/>
      <c r="H533" s="12"/>
      <c r="I533" s="11"/>
      <c r="J533" s="18"/>
      <c r="K533" s="18"/>
    </row>
    <row r="534" spans="3:11" x14ac:dyDescent="0.25">
      <c r="C534" s="11"/>
      <c r="D534" s="11"/>
      <c r="E534" s="11"/>
      <c r="F534" s="12"/>
      <c r="G534" s="13"/>
      <c r="H534" s="12"/>
      <c r="I534" s="11"/>
      <c r="J534" s="18"/>
      <c r="K534" s="18"/>
    </row>
    <row r="535" spans="3:11" x14ac:dyDescent="0.25">
      <c r="C535" s="11"/>
      <c r="D535" s="11"/>
      <c r="E535" s="11"/>
      <c r="F535" s="12"/>
      <c r="G535" s="13"/>
      <c r="H535" s="12"/>
      <c r="I535" s="11"/>
      <c r="J535" s="18"/>
      <c r="K535" s="18"/>
    </row>
    <row r="536" spans="3:11" x14ac:dyDescent="0.25">
      <c r="C536" s="11"/>
      <c r="D536" s="11"/>
      <c r="E536" s="11"/>
      <c r="F536" s="12"/>
      <c r="G536" s="13"/>
      <c r="H536" s="12"/>
      <c r="I536" s="11"/>
      <c r="J536" s="18"/>
      <c r="K536" s="18"/>
    </row>
    <row r="537" spans="3:11" x14ac:dyDescent="0.25">
      <c r="C537" s="11"/>
      <c r="D537" s="11"/>
      <c r="E537" s="11"/>
      <c r="F537" s="12"/>
      <c r="G537" s="13"/>
      <c r="H537" s="12"/>
      <c r="I537" s="11"/>
      <c r="J537" s="18"/>
      <c r="K537" s="18"/>
    </row>
    <row r="538" spans="3:11" x14ac:dyDescent="0.25">
      <c r="C538" s="11"/>
      <c r="D538" s="11"/>
      <c r="E538" s="11"/>
      <c r="F538" s="12"/>
      <c r="G538" s="13"/>
      <c r="H538" s="12"/>
      <c r="I538" s="11"/>
      <c r="J538" s="18"/>
      <c r="K538" s="18"/>
    </row>
    <row r="539" spans="3:11" x14ac:dyDescent="0.25">
      <c r="C539" s="11"/>
      <c r="D539" s="11"/>
      <c r="E539" s="11"/>
      <c r="F539" s="12"/>
      <c r="G539" s="13"/>
      <c r="H539" s="12"/>
      <c r="I539" s="11"/>
      <c r="J539" s="18"/>
      <c r="K539" s="18"/>
    </row>
    <row r="540" spans="3:11" x14ac:dyDescent="0.25">
      <c r="C540" s="11"/>
      <c r="D540" s="11"/>
      <c r="E540" s="11"/>
      <c r="F540" s="12"/>
      <c r="G540" s="13"/>
      <c r="H540" s="12"/>
      <c r="I540" s="11"/>
      <c r="J540" s="18"/>
      <c r="K540" s="18"/>
    </row>
    <row r="541" spans="3:11" x14ac:dyDescent="0.25">
      <c r="C541" s="11"/>
      <c r="D541" s="11"/>
      <c r="E541" s="11"/>
      <c r="F541" s="12"/>
      <c r="G541" s="13"/>
      <c r="H541" s="12"/>
      <c r="I541" s="11"/>
      <c r="J541" s="18"/>
      <c r="K541" s="18"/>
    </row>
    <row r="542" spans="3:11" x14ac:dyDescent="0.25">
      <c r="C542" s="11"/>
      <c r="D542" s="11"/>
      <c r="E542" s="11"/>
      <c r="F542" s="12"/>
      <c r="G542" s="13"/>
      <c r="H542" s="12"/>
      <c r="I542" s="11"/>
      <c r="J542" s="18"/>
      <c r="K542" s="18"/>
    </row>
    <row r="543" spans="3:11" x14ac:dyDescent="0.25">
      <c r="C543" s="11"/>
      <c r="D543" s="11"/>
      <c r="E543" s="11"/>
      <c r="F543" s="12"/>
      <c r="G543" s="13"/>
      <c r="H543" s="12"/>
      <c r="I543" s="11"/>
      <c r="J543" s="18"/>
      <c r="K543" s="18"/>
    </row>
    <row r="544" spans="3:11" x14ac:dyDescent="0.25">
      <c r="C544" s="11"/>
      <c r="D544" s="11"/>
      <c r="E544" s="11"/>
      <c r="F544" s="12"/>
      <c r="G544" s="13"/>
      <c r="H544" s="12"/>
      <c r="I544" s="11"/>
      <c r="J544" s="18"/>
      <c r="K544" s="18"/>
    </row>
    <row r="545" spans="3:11" x14ac:dyDescent="0.25">
      <c r="C545" s="11"/>
      <c r="D545" s="11"/>
      <c r="E545" s="11"/>
      <c r="F545" s="12"/>
      <c r="G545" s="13"/>
      <c r="H545" s="12"/>
      <c r="I545" s="11"/>
      <c r="J545" s="18"/>
      <c r="K545" s="18"/>
    </row>
    <row r="546" spans="3:11" x14ac:dyDescent="0.25">
      <c r="C546" s="11"/>
      <c r="D546" s="11"/>
      <c r="E546" s="11"/>
      <c r="F546" s="12"/>
      <c r="G546" s="13"/>
      <c r="H546" s="12"/>
      <c r="I546" s="11"/>
      <c r="J546" s="18"/>
      <c r="K546" s="18"/>
    </row>
    <row r="547" spans="3:11" x14ac:dyDescent="0.25">
      <c r="C547" s="11"/>
      <c r="D547" s="11"/>
      <c r="E547" s="11"/>
      <c r="F547" s="12"/>
      <c r="G547" s="13"/>
      <c r="H547" s="12"/>
      <c r="I547" s="11"/>
      <c r="J547" s="18"/>
      <c r="K547" s="18"/>
    </row>
    <row r="548" spans="3:11" x14ac:dyDescent="0.25">
      <c r="C548" s="11"/>
      <c r="D548" s="11"/>
      <c r="E548" s="11"/>
      <c r="F548" s="12"/>
      <c r="G548" s="13"/>
      <c r="H548" s="12"/>
      <c r="I548" s="11"/>
      <c r="J548" s="18"/>
      <c r="K548" s="18"/>
    </row>
    <row r="549" spans="3:11" x14ac:dyDescent="0.25">
      <c r="C549" s="11"/>
      <c r="D549" s="11"/>
      <c r="E549" s="11"/>
      <c r="F549" s="12"/>
      <c r="G549" s="13"/>
      <c r="H549" s="12"/>
      <c r="I549" s="11"/>
      <c r="J549" s="18"/>
      <c r="K549" s="18"/>
    </row>
    <row r="550" spans="3:11" x14ac:dyDescent="0.25">
      <c r="C550" s="11"/>
      <c r="D550" s="11"/>
      <c r="E550" s="11"/>
      <c r="F550" s="12"/>
      <c r="G550" s="13"/>
      <c r="H550" s="12"/>
      <c r="I550" s="11"/>
      <c r="J550" s="18"/>
      <c r="K550" s="18"/>
    </row>
    <row r="551" spans="3:11" x14ac:dyDescent="0.25">
      <c r="C551" s="11"/>
      <c r="D551" s="11"/>
      <c r="E551" s="11"/>
      <c r="F551" s="12"/>
      <c r="G551" s="13"/>
      <c r="H551" s="12"/>
      <c r="I551" s="11"/>
      <c r="J551" s="18"/>
      <c r="K551" s="18"/>
    </row>
    <row r="552" spans="3:11" x14ac:dyDescent="0.25">
      <c r="C552" s="11"/>
      <c r="D552" s="11"/>
      <c r="E552" s="11"/>
      <c r="F552" s="12"/>
      <c r="G552" s="13"/>
      <c r="H552" s="12"/>
      <c r="I552" s="11"/>
      <c r="J552" s="18"/>
      <c r="K552" s="18"/>
    </row>
    <row r="553" spans="3:11" x14ac:dyDescent="0.25">
      <c r="C553" s="11"/>
      <c r="D553" s="11"/>
      <c r="E553" s="11"/>
      <c r="F553" s="12"/>
      <c r="G553" s="13"/>
      <c r="H553" s="12"/>
      <c r="I553" s="11"/>
      <c r="J553" s="18"/>
      <c r="K553" s="18"/>
    </row>
    <row r="554" spans="3:11" x14ac:dyDescent="0.25">
      <c r="C554" s="11"/>
      <c r="D554" s="11"/>
      <c r="E554" s="11"/>
      <c r="F554" s="12"/>
      <c r="G554" s="13"/>
      <c r="H554" s="12"/>
      <c r="I554" s="11"/>
      <c r="J554" s="18"/>
      <c r="K554" s="18"/>
    </row>
    <row r="555" spans="3:11" x14ac:dyDescent="0.25">
      <c r="C555" s="11"/>
      <c r="D555" s="11"/>
      <c r="E555" s="11"/>
      <c r="F555" s="12"/>
      <c r="G555" s="13"/>
      <c r="H555" s="12"/>
      <c r="I555" s="11"/>
      <c r="J555" s="18"/>
      <c r="K555" s="18"/>
    </row>
    <row r="556" spans="3:11" x14ac:dyDescent="0.25">
      <c r="C556" s="11"/>
      <c r="D556" s="11"/>
      <c r="E556" s="11"/>
      <c r="F556" s="12"/>
      <c r="G556" s="13"/>
      <c r="H556" s="12"/>
      <c r="I556" s="11"/>
      <c r="J556" s="18"/>
      <c r="K556" s="18"/>
    </row>
    <row r="557" spans="3:11" x14ac:dyDescent="0.25">
      <c r="C557" s="11"/>
      <c r="D557" s="11"/>
      <c r="E557" s="11"/>
      <c r="F557" s="12"/>
      <c r="G557" s="13"/>
      <c r="H557" s="12"/>
      <c r="I557" s="11"/>
      <c r="J557" s="18"/>
      <c r="K557" s="18"/>
    </row>
    <row r="558" spans="3:11" x14ac:dyDescent="0.25">
      <c r="C558" s="11"/>
      <c r="D558" s="11"/>
      <c r="E558" s="11"/>
      <c r="F558" s="12"/>
      <c r="G558" s="13"/>
      <c r="H558" s="12"/>
      <c r="I558" s="11"/>
      <c r="J558" s="18"/>
      <c r="K558" s="18"/>
    </row>
    <row r="559" spans="3:11" x14ac:dyDescent="0.25">
      <c r="C559" s="11"/>
      <c r="D559" s="11"/>
      <c r="E559" s="11"/>
      <c r="F559" s="12"/>
      <c r="G559" s="13"/>
      <c r="H559" s="12"/>
      <c r="I559" s="11"/>
      <c r="J559" s="18"/>
      <c r="K559" s="18"/>
    </row>
    <row r="560" spans="3:11" x14ac:dyDescent="0.25">
      <c r="C560" s="11"/>
      <c r="D560" s="11"/>
      <c r="E560" s="11"/>
      <c r="F560" s="12"/>
      <c r="G560" s="13"/>
      <c r="H560" s="12"/>
      <c r="I560" s="11"/>
      <c r="J560" s="18"/>
      <c r="K560" s="18"/>
    </row>
    <row r="561" spans="3:11" x14ac:dyDescent="0.25">
      <c r="C561" s="11"/>
      <c r="D561" s="11"/>
      <c r="E561" s="11"/>
      <c r="F561" s="12"/>
      <c r="G561" s="13"/>
      <c r="H561" s="12"/>
      <c r="I561" s="11"/>
      <c r="J561" s="18"/>
      <c r="K561" s="18"/>
    </row>
    <row r="562" spans="3:11" x14ac:dyDescent="0.25">
      <c r="C562" s="11"/>
      <c r="D562" s="11"/>
      <c r="E562" s="11"/>
      <c r="F562" s="12"/>
      <c r="G562" s="13"/>
      <c r="H562" s="12"/>
      <c r="I562" s="11"/>
      <c r="J562" s="18"/>
      <c r="K562" s="18"/>
    </row>
    <row r="563" spans="3:11" x14ac:dyDescent="0.25">
      <c r="C563" s="11"/>
      <c r="D563" s="11"/>
      <c r="E563" s="11"/>
      <c r="F563" s="12"/>
      <c r="G563" s="13"/>
      <c r="H563" s="12"/>
      <c r="I563" s="11"/>
      <c r="J563" s="18"/>
      <c r="K563" s="18"/>
    </row>
    <row r="564" spans="3:11" x14ac:dyDescent="0.25">
      <c r="C564" s="11"/>
      <c r="D564" s="11"/>
      <c r="E564" s="11"/>
      <c r="F564" s="12"/>
      <c r="G564" s="13"/>
      <c r="H564" s="12"/>
      <c r="I564" s="11"/>
      <c r="J564" s="18"/>
      <c r="K564" s="18"/>
    </row>
    <row r="565" spans="3:11" x14ac:dyDescent="0.25">
      <c r="C565" s="11"/>
      <c r="D565" s="11"/>
      <c r="E565" s="11"/>
      <c r="F565" s="12"/>
      <c r="G565" s="13"/>
      <c r="H565" s="12"/>
      <c r="I565" s="11"/>
      <c r="J565" s="18"/>
      <c r="K565" s="18"/>
    </row>
    <row r="566" spans="3:11" x14ac:dyDescent="0.25">
      <c r="C566" s="11"/>
      <c r="D566" s="11"/>
      <c r="E566" s="11"/>
      <c r="F566" s="12"/>
      <c r="G566" s="13"/>
      <c r="H566" s="12"/>
      <c r="I566" s="11"/>
      <c r="J566" s="18"/>
      <c r="K566" s="18"/>
    </row>
    <row r="567" spans="3:11" x14ac:dyDescent="0.25">
      <c r="C567" s="11"/>
      <c r="D567" s="11"/>
      <c r="E567" s="11"/>
      <c r="F567" s="12"/>
      <c r="G567" s="13"/>
      <c r="H567" s="12"/>
      <c r="I567" s="11"/>
      <c r="J567" s="18"/>
      <c r="K567" s="18"/>
    </row>
    <row r="568" spans="3:11" x14ac:dyDescent="0.25">
      <c r="C568" s="11"/>
      <c r="D568" s="11"/>
      <c r="E568" s="11"/>
      <c r="F568" s="12"/>
      <c r="G568" s="13"/>
      <c r="H568" s="12"/>
      <c r="I568" s="11"/>
      <c r="J568" s="18"/>
      <c r="K568" s="18"/>
    </row>
    <row r="569" spans="3:11" x14ac:dyDescent="0.25">
      <c r="C569" s="11"/>
      <c r="D569" s="11"/>
      <c r="E569" s="11"/>
      <c r="F569" s="12"/>
      <c r="G569" s="13"/>
      <c r="H569" s="12"/>
      <c r="I569" s="11"/>
      <c r="J569" s="18"/>
      <c r="K569" s="18"/>
    </row>
    <row r="570" spans="3:11" x14ac:dyDescent="0.25">
      <c r="C570" s="11"/>
      <c r="D570" s="11"/>
      <c r="E570" s="11"/>
      <c r="F570" s="12"/>
      <c r="G570" s="13"/>
      <c r="H570" s="12"/>
      <c r="I570" s="11"/>
      <c r="J570" s="18"/>
      <c r="K570" s="18"/>
    </row>
    <row r="571" spans="3:11" x14ac:dyDescent="0.25">
      <c r="C571" s="11"/>
      <c r="D571" s="11"/>
      <c r="E571" s="11"/>
      <c r="F571" s="12"/>
      <c r="G571" s="13"/>
      <c r="H571" s="12"/>
      <c r="I571" s="11"/>
      <c r="J571" s="18"/>
      <c r="K571" s="18"/>
    </row>
    <row r="572" spans="3:11" x14ac:dyDescent="0.25">
      <c r="C572" s="11"/>
      <c r="D572" s="11"/>
      <c r="E572" s="11"/>
      <c r="F572" s="12"/>
      <c r="G572" s="13"/>
      <c r="H572" s="12"/>
      <c r="I572" s="11"/>
      <c r="J572" s="18"/>
      <c r="K572" s="18"/>
    </row>
    <row r="573" spans="3:11" x14ac:dyDescent="0.25">
      <c r="C573" s="11"/>
      <c r="D573" s="11"/>
      <c r="E573" s="11"/>
      <c r="F573" s="12"/>
      <c r="G573" s="13"/>
      <c r="H573" s="12"/>
      <c r="I573" s="11"/>
      <c r="J573" s="18"/>
      <c r="K573" s="18"/>
    </row>
    <row r="574" spans="3:11" x14ac:dyDescent="0.25">
      <c r="C574" s="11"/>
      <c r="D574" s="11"/>
      <c r="E574" s="11"/>
      <c r="F574" s="12"/>
      <c r="G574" s="13"/>
      <c r="H574" s="12"/>
      <c r="I574" s="11"/>
      <c r="J574" s="18"/>
      <c r="K574" s="18"/>
    </row>
    <row r="575" spans="3:11" x14ac:dyDescent="0.25">
      <c r="C575" s="11"/>
      <c r="D575" s="11"/>
      <c r="E575" s="11"/>
      <c r="F575" s="12"/>
      <c r="G575" s="13"/>
      <c r="H575" s="12"/>
      <c r="I575" s="11"/>
      <c r="J575" s="18"/>
      <c r="K575" s="18"/>
    </row>
    <row r="576" spans="3:11" x14ac:dyDescent="0.25">
      <c r="C576" s="11"/>
      <c r="D576" s="11"/>
      <c r="E576" s="11"/>
      <c r="F576" s="12"/>
      <c r="G576" s="13"/>
      <c r="H576" s="12"/>
      <c r="I576" s="11"/>
      <c r="J576" s="18"/>
      <c r="K576" s="18"/>
    </row>
    <row r="577" spans="3:11" x14ac:dyDescent="0.25">
      <c r="C577" s="11"/>
      <c r="D577" s="11"/>
      <c r="E577" s="11"/>
      <c r="F577" s="12"/>
      <c r="G577" s="13"/>
      <c r="H577" s="12"/>
      <c r="I577" s="11"/>
      <c r="J577" s="18"/>
      <c r="K577" s="18"/>
    </row>
    <row r="578" spans="3:11" x14ac:dyDescent="0.25">
      <c r="C578" s="11"/>
      <c r="D578" s="11"/>
      <c r="E578" s="11"/>
      <c r="F578" s="12"/>
      <c r="G578" s="13"/>
      <c r="H578" s="12"/>
      <c r="I578" s="11"/>
      <c r="J578" s="18"/>
      <c r="K578" s="18"/>
    </row>
    <row r="579" spans="3:11" x14ac:dyDescent="0.25">
      <c r="C579" s="11"/>
      <c r="D579" s="11"/>
      <c r="E579" s="11"/>
      <c r="F579" s="12"/>
      <c r="G579" s="13"/>
      <c r="H579" s="12"/>
      <c r="I579" s="11"/>
      <c r="J579" s="18"/>
      <c r="K579" s="18"/>
    </row>
    <row r="580" spans="3:11" x14ac:dyDescent="0.25">
      <c r="C580" s="11"/>
      <c r="D580" s="11"/>
      <c r="E580" s="11"/>
      <c r="F580" s="12"/>
      <c r="G580" s="13"/>
      <c r="H580" s="12"/>
      <c r="I580" s="11"/>
      <c r="J580" s="18"/>
      <c r="K580" s="18"/>
    </row>
    <row r="581" spans="3:11" x14ac:dyDescent="0.25">
      <c r="C581" s="11"/>
      <c r="D581" s="11"/>
      <c r="E581" s="11"/>
      <c r="F581" s="12"/>
      <c r="G581" s="13"/>
      <c r="H581" s="12"/>
      <c r="I581" s="11"/>
      <c r="J581" s="18"/>
      <c r="K581" s="18"/>
    </row>
    <row r="582" spans="3:11" x14ac:dyDescent="0.25">
      <c r="C582" s="11"/>
      <c r="D582" s="11"/>
      <c r="E582" s="11"/>
      <c r="F582" s="12"/>
      <c r="G582" s="13"/>
      <c r="H582" s="12"/>
      <c r="I582" s="11"/>
      <c r="J582" s="18"/>
      <c r="K582" s="18"/>
    </row>
    <row r="583" spans="3:11" x14ac:dyDescent="0.25">
      <c r="C583" s="11"/>
      <c r="D583" s="11"/>
      <c r="E583" s="11"/>
      <c r="F583" s="12"/>
      <c r="G583" s="13"/>
      <c r="H583" s="12"/>
      <c r="I583" s="11"/>
      <c r="J583" s="18"/>
      <c r="K583" s="18"/>
    </row>
    <row r="584" spans="3:11" x14ac:dyDescent="0.25">
      <c r="C584" s="11"/>
      <c r="D584" s="11"/>
      <c r="E584" s="11"/>
      <c r="F584" s="12"/>
      <c r="G584" s="13"/>
      <c r="H584" s="12"/>
      <c r="I584" s="11"/>
      <c r="J584" s="18"/>
      <c r="K584" s="18"/>
    </row>
    <row r="585" spans="3:11" x14ac:dyDescent="0.25">
      <c r="C585" s="11"/>
      <c r="D585" s="11"/>
      <c r="E585" s="11"/>
      <c r="F585" s="12"/>
      <c r="G585" s="13"/>
      <c r="H585" s="12"/>
      <c r="I585" s="11"/>
      <c r="J585" s="18"/>
      <c r="K585" s="18"/>
    </row>
    <row r="586" spans="3:11" x14ac:dyDescent="0.25">
      <c r="C586" s="11"/>
      <c r="D586" s="11"/>
      <c r="E586" s="11"/>
      <c r="F586" s="12"/>
      <c r="G586" s="13"/>
      <c r="H586" s="12"/>
      <c r="I586" s="11"/>
      <c r="J586" s="18"/>
      <c r="K586" s="18"/>
    </row>
    <row r="587" spans="3:11" x14ac:dyDescent="0.25">
      <c r="C587" s="11"/>
      <c r="D587" s="11"/>
      <c r="E587" s="11"/>
      <c r="F587" s="12"/>
      <c r="G587" s="13"/>
      <c r="H587" s="12"/>
      <c r="I587" s="11"/>
      <c r="J587" s="18"/>
      <c r="K587" s="18"/>
    </row>
    <row r="588" spans="3:11" x14ac:dyDescent="0.25">
      <c r="C588" s="11"/>
      <c r="D588" s="11"/>
      <c r="E588" s="11"/>
      <c r="F588" s="12"/>
      <c r="G588" s="13"/>
      <c r="H588" s="12"/>
      <c r="I588" s="11"/>
      <c r="J588" s="18"/>
      <c r="K588" s="18"/>
    </row>
    <row r="589" spans="3:11" x14ac:dyDescent="0.25">
      <c r="C589" s="11"/>
      <c r="D589" s="11"/>
      <c r="E589" s="11"/>
      <c r="F589" s="12"/>
      <c r="G589" s="13"/>
      <c r="H589" s="12"/>
      <c r="I589" s="11"/>
      <c r="J589" s="18"/>
      <c r="K589" s="18"/>
    </row>
    <row r="590" spans="3:11" x14ac:dyDescent="0.25">
      <c r="C590" s="11"/>
      <c r="D590" s="11"/>
      <c r="E590" s="11"/>
      <c r="F590" s="12"/>
      <c r="G590" s="13"/>
      <c r="H590" s="12"/>
      <c r="I590" s="11"/>
      <c r="J590" s="18"/>
      <c r="K590" s="18"/>
    </row>
    <row r="591" spans="3:11" x14ac:dyDescent="0.25">
      <c r="C591" s="11"/>
      <c r="D591" s="11"/>
      <c r="E591" s="11"/>
      <c r="F591" s="12"/>
      <c r="G591" s="13"/>
      <c r="H591" s="12"/>
      <c r="I591" s="11"/>
      <c r="J591" s="18"/>
      <c r="K591" s="18"/>
    </row>
    <row r="592" spans="3:11" x14ac:dyDescent="0.25">
      <c r="C592" s="11"/>
      <c r="D592" s="11"/>
      <c r="E592" s="11"/>
      <c r="F592" s="12"/>
      <c r="G592" s="13"/>
      <c r="H592" s="12"/>
      <c r="I592" s="11"/>
      <c r="J592" s="18"/>
      <c r="K592" s="18"/>
    </row>
    <row r="593" spans="3:11" x14ac:dyDescent="0.25">
      <c r="C593" s="11"/>
      <c r="D593" s="11"/>
      <c r="E593" s="11"/>
      <c r="F593" s="12"/>
      <c r="G593" s="13"/>
      <c r="H593" s="12"/>
      <c r="I593" s="11"/>
      <c r="J593" s="18"/>
      <c r="K593" s="18"/>
    </row>
    <row r="594" spans="3:11" x14ac:dyDescent="0.25">
      <c r="C594" s="11"/>
      <c r="D594" s="11"/>
      <c r="E594" s="11"/>
      <c r="F594" s="12"/>
      <c r="G594" s="13"/>
      <c r="H594" s="12"/>
      <c r="I594" s="11"/>
      <c r="J594" s="18"/>
      <c r="K594" s="18"/>
    </row>
    <row r="595" spans="3:11" x14ac:dyDescent="0.25">
      <c r="C595" s="11"/>
      <c r="D595" s="11"/>
      <c r="E595" s="11"/>
      <c r="F595" s="12"/>
      <c r="G595" s="13"/>
      <c r="H595" s="12"/>
      <c r="I595" s="11"/>
      <c r="J595" s="18"/>
      <c r="K595" s="18"/>
    </row>
    <row r="596" spans="3:11" x14ac:dyDescent="0.25">
      <c r="C596" s="11"/>
      <c r="D596" s="11"/>
      <c r="E596" s="11"/>
      <c r="F596" s="12"/>
      <c r="G596" s="13"/>
      <c r="H596" s="12"/>
      <c r="I596" s="11"/>
      <c r="J596" s="18"/>
      <c r="K596" s="18"/>
    </row>
    <row r="597" spans="3:11" x14ac:dyDescent="0.25">
      <c r="C597" s="11"/>
      <c r="D597" s="11"/>
      <c r="E597" s="11"/>
      <c r="F597" s="12"/>
      <c r="G597" s="13"/>
      <c r="H597" s="12"/>
      <c r="I597" s="11"/>
      <c r="J597" s="18"/>
      <c r="K597" s="18"/>
    </row>
    <row r="598" spans="3:11" x14ac:dyDescent="0.25">
      <c r="C598" s="11"/>
      <c r="D598" s="11"/>
      <c r="E598" s="11"/>
      <c r="F598" s="12"/>
      <c r="G598" s="13"/>
      <c r="H598" s="12"/>
      <c r="I598" s="11"/>
      <c r="J598" s="18"/>
      <c r="K598" s="18"/>
    </row>
    <row r="599" spans="3:11" x14ac:dyDescent="0.25">
      <c r="C599" s="11"/>
      <c r="D599" s="11"/>
      <c r="E599" s="11"/>
      <c r="F599" s="12"/>
      <c r="G599" s="13"/>
      <c r="H599" s="12"/>
      <c r="I599" s="11"/>
      <c r="J599" s="18"/>
      <c r="K599" s="18"/>
    </row>
    <row r="600" spans="3:11" x14ac:dyDescent="0.25">
      <c r="C600" s="11"/>
      <c r="D600" s="11"/>
      <c r="E600" s="11"/>
      <c r="F600" s="12"/>
      <c r="G600" s="13"/>
      <c r="H600" s="12"/>
      <c r="I600" s="11"/>
      <c r="J600" s="18"/>
      <c r="K600" s="18"/>
    </row>
    <row r="601" spans="3:11" x14ac:dyDescent="0.25">
      <c r="C601" s="11"/>
      <c r="D601" s="11"/>
      <c r="E601" s="11"/>
      <c r="F601" s="12"/>
      <c r="G601" s="13"/>
      <c r="H601" s="12"/>
      <c r="I601" s="11"/>
      <c r="J601" s="18"/>
      <c r="K601" s="18"/>
    </row>
    <row r="602" spans="3:11" x14ac:dyDescent="0.25">
      <c r="C602" s="11"/>
      <c r="D602" s="11"/>
      <c r="E602" s="11"/>
      <c r="F602" s="12"/>
      <c r="G602" s="13"/>
      <c r="H602" s="12"/>
      <c r="I602" s="11"/>
      <c r="J602" s="18"/>
      <c r="K602" s="18"/>
    </row>
    <row r="603" spans="3:11" x14ac:dyDescent="0.25">
      <c r="C603" s="11"/>
      <c r="D603" s="11"/>
      <c r="E603" s="11"/>
      <c r="F603" s="12"/>
      <c r="G603" s="13"/>
      <c r="H603" s="12"/>
      <c r="I603" s="11"/>
      <c r="J603" s="18"/>
      <c r="K603" s="18"/>
    </row>
    <row r="604" spans="3:11" x14ac:dyDescent="0.25">
      <c r="C604" s="11"/>
      <c r="D604" s="11"/>
      <c r="E604" s="11"/>
      <c r="F604" s="12"/>
      <c r="G604" s="13"/>
      <c r="H604" s="12"/>
      <c r="I604" s="11"/>
      <c r="J604" s="18"/>
      <c r="K604" s="18"/>
    </row>
    <row r="605" spans="3:11" x14ac:dyDescent="0.25">
      <c r="C605" s="11"/>
      <c r="D605" s="11"/>
      <c r="E605" s="11"/>
      <c r="F605" s="12"/>
      <c r="G605" s="13"/>
      <c r="H605" s="12"/>
      <c r="I605" s="11"/>
      <c r="J605" s="18"/>
      <c r="K605" s="18"/>
    </row>
    <row r="606" spans="3:11" x14ac:dyDescent="0.25">
      <c r="C606" s="11"/>
      <c r="D606" s="11"/>
      <c r="E606" s="11"/>
      <c r="F606" s="12"/>
      <c r="G606" s="13"/>
      <c r="H606" s="12"/>
      <c r="I606" s="11"/>
      <c r="J606" s="18"/>
      <c r="K606" s="18"/>
    </row>
    <row r="607" spans="3:11" x14ac:dyDescent="0.25">
      <c r="C607" s="11"/>
      <c r="D607" s="11"/>
      <c r="E607" s="11"/>
      <c r="F607" s="12"/>
      <c r="G607" s="13"/>
      <c r="H607" s="12"/>
      <c r="I607" s="11"/>
      <c r="J607" s="18"/>
      <c r="K607" s="18"/>
    </row>
    <row r="608" spans="3:11" x14ac:dyDescent="0.25">
      <c r="C608" s="11"/>
      <c r="D608" s="11"/>
      <c r="E608" s="11"/>
      <c r="F608" s="12"/>
      <c r="G608" s="13"/>
      <c r="H608" s="12"/>
      <c r="I608" s="11"/>
      <c r="J608" s="18"/>
      <c r="K608" s="18"/>
    </row>
    <row r="609" spans="3:11" x14ac:dyDescent="0.25">
      <c r="C609" s="11"/>
      <c r="D609" s="11"/>
      <c r="E609" s="11"/>
      <c r="F609" s="12"/>
      <c r="G609" s="13"/>
      <c r="H609" s="12"/>
      <c r="I609" s="11"/>
      <c r="J609" s="18"/>
      <c r="K609" s="18"/>
    </row>
    <row r="610" spans="3:11" x14ac:dyDescent="0.25">
      <c r="C610" s="11"/>
      <c r="D610" s="11"/>
      <c r="E610" s="11"/>
      <c r="F610" s="12"/>
      <c r="G610" s="13"/>
      <c r="H610" s="12"/>
      <c r="I610" s="11"/>
      <c r="J610" s="18"/>
      <c r="K610" s="18"/>
    </row>
    <row r="611" spans="3:11" x14ac:dyDescent="0.25">
      <c r="C611" s="11"/>
      <c r="D611" s="11"/>
      <c r="E611" s="11"/>
      <c r="F611" s="12"/>
      <c r="G611" s="13"/>
      <c r="H611" s="12"/>
      <c r="I611" s="11"/>
      <c r="J611" s="18"/>
      <c r="K611" s="18"/>
    </row>
    <row r="612" spans="3:11" x14ac:dyDescent="0.25">
      <c r="C612" s="11"/>
      <c r="D612" s="11"/>
      <c r="E612" s="11"/>
      <c r="F612" s="12"/>
      <c r="G612" s="13"/>
      <c r="H612" s="12"/>
      <c r="I612" s="11"/>
      <c r="J612" s="18"/>
      <c r="K612" s="18"/>
    </row>
    <row r="613" spans="3:11" x14ac:dyDescent="0.25">
      <c r="C613" s="11"/>
      <c r="D613" s="11"/>
      <c r="E613" s="11"/>
      <c r="F613" s="12"/>
      <c r="G613" s="13"/>
      <c r="H613" s="12"/>
      <c r="I613" s="11"/>
      <c r="J613" s="18"/>
      <c r="K613" s="18"/>
    </row>
    <row r="614" spans="3:11" x14ac:dyDescent="0.25">
      <c r="C614" s="11"/>
      <c r="D614" s="11"/>
      <c r="E614" s="11"/>
      <c r="F614" s="12"/>
      <c r="G614" s="13"/>
      <c r="H614" s="12"/>
      <c r="I614" s="11"/>
      <c r="J614" s="18"/>
      <c r="K614" s="18"/>
    </row>
    <row r="615" spans="3:11" x14ac:dyDescent="0.25">
      <c r="C615" s="11"/>
      <c r="D615" s="11"/>
      <c r="E615" s="11"/>
      <c r="F615" s="12"/>
      <c r="G615" s="13"/>
      <c r="H615" s="12"/>
      <c r="I615" s="11"/>
      <c r="J615" s="18"/>
      <c r="K615" s="18"/>
    </row>
    <row r="616" spans="3:11" x14ac:dyDescent="0.25">
      <c r="C616" s="11"/>
      <c r="D616" s="11"/>
      <c r="E616" s="11"/>
      <c r="F616" s="12"/>
      <c r="G616" s="13"/>
      <c r="H616" s="12"/>
      <c r="I616" s="11"/>
      <c r="J616" s="18"/>
      <c r="K616" s="18"/>
    </row>
    <row r="617" spans="3:11" x14ac:dyDescent="0.25">
      <c r="C617" s="11"/>
      <c r="D617" s="11"/>
      <c r="E617" s="11"/>
      <c r="F617" s="12"/>
      <c r="G617" s="13"/>
      <c r="H617" s="12"/>
      <c r="I617" s="11"/>
      <c r="J617" s="18"/>
      <c r="K617" s="18"/>
    </row>
    <row r="618" spans="3:11" x14ac:dyDescent="0.25">
      <c r="C618" s="11"/>
      <c r="D618" s="11"/>
      <c r="E618" s="11"/>
      <c r="F618" s="12"/>
      <c r="G618" s="13"/>
      <c r="H618" s="12"/>
      <c r="I618" s="11"/>
      <c r="J618" s="18"/>
      <c r="K618" s="18"/>
    </row>
    <row r="619" spans="3:11" x14ac:dyDescent="0.25">
      <c r="C619" s="11"/>
      <c r="D619" s="11"/>
      <c r="E619" s="11"/>
      <c r="F619" s="12"/>
      <c r="G619" s="13"/>
      <c r="H619" s="12"/>
      <c r="I619" s="11"/>
      <c r="J619" s="18"/>
      <c r="K619" s="18"/>
    </row>
    <row r="620" spans="3:11" x14ac:dyDescent="0.25">
      <c r="C620" s="11"/>
      <c r="D620" s="11"/>
      <c r="E620" s="11"/>
      <c r="F620" s="12"/>
      <c r="G620" s="13"/>
      <c r="H620" s="12"/>
      <c r="I620" s="11"/>
      <c r="J620" s="18"/>
      <c r="K620" s="18"/>
    </row>
    <row r="621" spans="3:11" x14ac:dyDescent="0.25">
      <c r="C621" s="11"/>
      <c r="D621" s="11"/>
      <c r="E621" s="11"/>
      <c r="F621" s="12"/>
      <c r="G621" s="13"/>
      <c r="H621" s="12"/>
      <c r="I621" s="11"/>
      <c r="J621" s="18"/>
      <c r="K621" s="18"/>
    </row>
    <row r="622" spans="3:11" x14ac:dyDescent="0.25">
      <c r="C622" s="11"/>
      <c r="D622" s="11"/>
      <c r="E622" s="11"/>
      <c r="F622" s="12"/>
      <c r="G622" s="13"/>
      <c r="H622" s="12"/>
      <c r="I622" s="11"/>
      <c r="J622" s="18"/>
      <c r="K622" s="18"/>
    </row>
    <row r="623" spans="3:11" x14ac:dyDescent="0.25">
      <c r="C623" s="11"/>
      <c r="D623" s="11"/>
      <c r="E623" s="11"/>
      <c r="F623" s="12"/>
      <c r="G623" s="13"/>
      <c r="H623" s="12"/>
      <c r="I623" s="11"/>
      <c r="J623" s="18"/>
      <c r="K623" s="18"/>
    </row>
    <row r="624" spans="3:11" x14ac:dyDescent="0.25">
      <c r="C624" s="11"/>
      <c r="D624" s="11"/>
      <c r="E624" s="11"/>
      <c r="F624" s="12"/>
      <c r="G624" s="13"/>
      <c r="H624" s="12"/>
      <c r="I624" s="11"/>
      <c r="J624" s="18"/>
      <c r="K624" s="18"/>
    </row>
    <row r="625" spans="3:11" x14ac:dyDescent="0.25">
      <c r="C625" s="11"/>
      <c r="D625" s="11"/>
      <c r="E625" s="11"/>
      <c r="F625" s="12"/>
      <c r="G625" s="13"/>
      <c r="H625" s="12"/>
      <c r="I625" s="11"/>
      <c r="J625" s="18"/>
      <c r="K625" s="18"/>
    </row>
    <row r="626" spans="3:11" x14ac:dyDescent="0.25">
      <c r="C626" s="11"/>
      <c r="D626" s="11"/>
      <c r="E626" s="11"/>
      <c r="F626" s="12"/>
      <c r="G626" s="13"/>
      <c r="H626" s="12"/>
      <c r="I626" s="11"/>
      <c r="J626" s="18"/>
      <c r="K626" s="18"/>
    </row>
    <row r="627" spans="3:11" x14ac:dyDescent="0.25">
      <c r="C627" s="11"/>
      <c r="D627" s="11"/>
      <c r="E627" s="11"/>
      <c r="F627" s="12"/>
      <c r="G627" s="13"/>
      <c r="H627" s="12"/>
      <c r="I627" s="11"/>
      <c r="J627" s="18"/>
      <c r="K627" s="18"/>
    </row>
    <row r="628" spans="3:11" x14ac:dyDescent="0.25">
      <c r="C628" s="11"/>
      <c r="D628" s="11"/>
      <c r="E628" s="11"/>
      <c r="F628" s="12"/>
      <c r="G628" s="13"/>
      <c r="H628" s="12"/>
      <c r="I628" s="11"/>
      <c r="J628" s="18"/>
      <c r="K628" s="18"/>
    </row>
    <row r="629" spans="3:11" x14ac:dyDescent="0.25">
      <c r="C629" s="11"/>
      <c r="D629" s="11"/>
      <c r="E629" s="11"/>
      <c r="F629" s="12"/>
      <c r="G629" s="13"/>
      <c r="H629" s="12"/>
      <c r="I629" s="11"/>
      <c r="J629" s="18"/>
      <c r="K629" s="18"/>
    </row>
    <row r="630" spans="3:11" x14ac:dyDescent="0.25">
      <c r="C630" s="11"/>
      <c r="D630" s="11"/>
      <c r="E630" s="11"/>
      <c r="F630" s="12"/>
      <c r="G630" s="13"/>
      <c r="H630" s="12"/>
      <c r="I630" s="11"/>
      <c r="J630" s="18"/>
      <c r="K630" s="18"/>
    </row>
    <row r="631" spans="3:11" x14ac:dyDescent="0.25">
      <c r="C631" s="11"/>
      <c r="D631" s="11"/>
      <c r="E631" s="11"/>
      <c r="F631" s="12"/>
      <c r="G631" s="13"/>
      <c r="H631" s="12"/>
      <c r="I631" s="11"/>
      <c r="J631" s="18"/>
      <c r="K631" s="18"/>
    </row>
    <row r="632" spans="3:11" x14ac:dyDescent="0.25">
      <c r="C632" s="11"/>
      <c r="D632" s="11"/>
      <c r="E632" s="11"/>
      <c r="F632" s="12"/>
      <c r="G632" s="13"/>
      <c r="H632" s="12"/>
      <c r="I632" s="11"/>
      <c r="J632" s="18"/>
      <c r="K632" s="18"/>
    </row>
    <row r="633" spans="3:11" x14ac:dyDescent="0.25">
      <c r="C633" s="11"/>
      <c r="D633" s="11"/>
      <c r="E633" s="11"/>
      <c r="F633" s="12"/>
      <c r="G633" s="13"/>
      <c r="H633" s="12"/>
      <c r="I633" s="11"/>
      <c r="J633" s="18"/>
      <c r="K633" s="18"/>
    </row>
    <row r="634" spans="3:11" x14ac:dyDescent="0.25">
      <c r="C634" s="11"/>
      <c r="D634" s="11"/>
      <c r="E634" s="11"/>
      <c r="F634" s="12"/>
      <c r="G634" s="13"/>
      <c r="H634" s="12"/>
      <c r="I634" s="11"/>
      <c r="J634" s="18"/>
      <c r="K634" s="18"/>
    </row>
    <row r="635" spans="3:11" x14ac:dyDescent="0.25">
      <c r="C635" s="11"/>
      <c r="D635" s="11"/>
      <c r="E635" s="11"/>
      <c r="F635" s="12"/>
      <c r="G635" s="13"/>
      <c r="H635" s="12"/>
      <c r="I635" s="11"/>
      <c r="J635" s="18"/>
      <c r="K635" s="18"/>
    </row>
    <row r="636" spans="3:11" x14ac:dyDescent="0.25">
      <c r="C636" s="11"/>
      <c r="D636" s="11"/>
      <c r="E636" s="11"/>
      <c r="F636" s="12"/>
      <c r="G636" s="13"/>
      <c r="H636" s="12"/>
      <c r="I636" s="11"/>
      <c r="J636" s="18"/>
      <c r="K636" s="18"/>
    </row>
    <row r="637" spans="3:11" x14ac:dyDescent="0.25">
      <c r="C637" s="11"/>
      <c r="D637" s="11"/>
      <c r="E637" s="11"/>
      <c r="F637" s="12"/>
      <c r="G637" s="13"/>
      <c r="H637" s="12"/>
      <c r="I637" s="11"/>
      <c r="J637" s="18"/>
      <c r="K637" s="18"/>
    </row>
    <row r="638" spans="3:11" x14ac:dyDescent="0.25">
      <c r="C638" s="11"/>
      <c r="D638" s="11"/>
      <c r="E638" s="11"/>
      <c r="F638" s="12"/>
      <c r="G638" s="13"/>
      <c r="H638" s="12"/>
      <c r="I638" s="11"/>
      <c r="J638" s="18"/>
      <c r="K638" s="18"/>
    </row>
    <row r="639" spans="3:11" x14ac:dyDescent="0.25">
      <c r="C639" s="11"/>
      <c r="D639" s="11"/>
      <c r="E639" s="11"/>
      <c r="F639" s="12"/>
      <c r="G639" s="13"/>
      <c r="H639" s="12"/>
      <c r="I639" s="11"/>
      <c r="J639" s="18"/>
      <c r="K639" s="18"/>
    </row>
    <row r="640" spans="3:11" x14ac:dyDescent="0.25">
      <c r="C640" s="11"/>
      <c r="D640" s="11"/>
      <c r="E640" s="11"/>
      <c r="F640" s="12"/>
      <c r="G640" s="13"/>
      <c r="H640" s="12"/>
      <c r="I640" s="11"/>
      <c r="J640" s="18"/>
      <c r="K640" s="18"/>
    </row>
    <row r="641" spans="3:11" x14ac:dyDescent="0.25">
      <c r="C641" s="11"/>
      <c r="D641" s="11"/>
      <c r="E641" s="11"/>
      <c r="F641" s="12"/>
      <c r="G641" s="13"/>
      <c r="H641" s="12"/>
      <c r="I641" s="11"/>
      <c r="J641" s="18"/>
      <c r="K641" s="18"/>
    </row>
    <row r="642" spans="3:11" x14ac:dyDescent="0.25">
      <c r="C642" s="11"/>
      <c r="D642" s="11"/>
      <c r="E642" s="11"/>
      <c r="F642" s="12"/>
      <c r="G642" s="13"/>
      <c r="H642" s="12"/>
      <c r="I642" s="11"/>
      <c r="J642" s="18"/>
      <c r="K642" s="18"/>
    </row>
    <row r="643" spans="3:11" x14ac:dyDescent="0.25">
      <c r="C643" s="11"/>
      <c r="D643" s="11"/>
      <c r="E643" s="11"/>
      <c r="F643" s="12"/>
      <c r="G643" s="13"/>
      <c r="H643" s="12"/>
      <c r="I643" s="11"/>
      <c r="J643" s="18"/>
      <c r="K643" s="18"/>
    </row>
    <row r="644" spans="3:11" x14ac:dyDescent="0.25">
      <c r="C644" s="11"/>
      <c r="D644" s="11"/>
      <c r="E644" s="11"/>
      <c r="F644" s="12"/>
      <c r="G644" s="13"/>
      <c r="H644" s="12"/>
      <c r="I644" s="11"/>
      <c r="J644" s="18"/>
      <c r="K644" s="18"/>
    </row>
    <row r="645" spans="3:11" x14ac:dyDescent="0.25">
      <c r="C645" s="11"/>
      <c r="D645" s="11"/>
      <c r="E645" s="11"/>
      <c r="F645" s="12"/>
      <c r="G645" s="13"/>
      <c r="H645" s="12"/>
      <c r="I645" s="11"/>
      <c r="J645" s="18"/>
      <c r="K645" s="18"/>
    </row>
    <row r="646" spans="3:11" x14ac:dyDescent="0.25">
      <c r="C646" s="11"/>
      <c r="D646" s="11"/>
      <c r="E646" s="11"/>
      <c r="F646" s="12"/>
      <c r="G646" s="13"/>
      <c r="H646" s="12"/>
      <c r="I646" s="11"/>
      <c r="J646" s="18"/>
      <c r="K646" s="18"/>
    </row>
    <row r="647" spans="3:11" x14ac:dyDescent="0.25">
      <c r="C647" s="11"/>
      <c r="D647" s="11"/>
      <c r="E647" s="11"/>
      <c r="F647" s="12"/>
      <c r="G647" s="13"/>
      <c r="H647" s="12"/>
      <c r="I647" s="11"/>
      <c r="J647" s="18"/>
      <c r="K647" s="18"/>
    </row>
    <row r="648" spans="3:11" x14ac:dyDescent="0.25">
      <c r="C648" s="11"/>
      <c r="D648" s="11"/>
      <c r="E648" s="11"/>
      <c r="F648" s="12"/>
      <c r="G648" s="13"/>
      <c r="H648" s="12"/>
      <c r="I648" s="11"/>
      <c r="J648" s="18"/>
      <c r="K648" s="18"/>
    </row>
    <row r="649" spans="3:11" x14ac:dyDescent="0.25">
      <c r="C649" s="11"/>
      <c r="D649" s="11"/>
      <c r="E649" s="11"/>
      <c r="F649" s="12"/>
      <c r="G649" s="13"/>
      <c r="H649" s="12"/>
      <c r="I649" s="11"/>
      <c r="J649" s="18"/>
      <c r="K649" s="18"/>
    </row>
    <row r="650" spans="3:11" x14ac:dyDescent="0.25">
      <c r="C650" s="11"/>
      <c r="D650" s="11"/>
      <c r="E650" s="11"/>
      <c r="F650" s="12"/>
      <c r="G650" s="13"/>
      <c r="H650" s="12"/>
      <c r="I650" s="11"/>
      <c r="J650" s="18"/>
      <c r="K650" s="18"/>
    </row>
    <row r="651" spans="3:11" x14ac:dyDescent="0.25">
      <c r="C651" s="11"/>
      <c r="D651" s="11"/>
      <c r="E651" s="11"/>
      <c r="F651" s="12"/>
      <c r="G651" s="13"/>
      <c r="H651" s="12"/>
      <c r="I651" s="11"/>
      <c r="J651" s="18"/>
      <c r="K651" s="18"/>
    </row>
    <row r="652" spans="3:11" x14ac:dyDescent="0.25">
      <c r="C652" s="11"/>
      <c r="D652" s="11"/>
      <c r="E652" s="11"/>
      <c r="F652" s="12"/>
      <c r="G652" s="13"/>
      <c r="H652" s="12"/>
      <c r="I652" s="11"/>
      <c r="J652" s="18"/>
      <c r="K652" s="18"/>
    </row>
    <row r="653" spans="3:11" x14ac:dyDescent="0.25">
      <c r="C653" s="11"/>
      <c r="D653" s="11"/>
      <c r="E653" s="11"/>
      <c r="F653" s="12"/>
      <c r="G653" s="13"/>
      <c r="H653" s="12"/>
      <c r="I653" s="11"/>
      <c r="J653" s="18"/>
      <c r="K653" s="18"/>
    </row>
    <row r="654" spans="3:11" x14ac:dyDescent="0.25">
      <c r="C654" s="11"/>
      <c r="D654" s="11"/>
      <c r="E654" s="11"/>
      <c r="F654" s="12"/>
      <c r="G654" s="13"/>
      <c r="H654" s="12"/>
      <c r="I654" s="11"/>
      <c r="J654" s="18"/>
      <c r="K654" s="18"/>
    </row>
    <row r="655" spans="3:11" x14ac:dyDescent="0.25">
      <c r="C655" s="11"/>
      <c r="D655" s="11"/>
      <c r="E655" s="11"/>
      <c r="F655" s="12"/>
      <c r="G655" s="13"/>
      <c r="H655" s="12"/>
      <c r="I655" s="11"/>
      <c r="J655" s="18"/>
      <c r="K655" s="18"/>
    </row>
    <row r="656" spans="3:11" x14ac:dyDescent="0.25">
      <c r="C656" s="11"/>
      <c r="D656" s="11"/>
      <c r="E656" s="11"/>
      <c r="F656" s="12"/>
      <c r="G656" s="13"/>
      <c r="H656" s="12"/>
      <c r="I656" s="11"/>
      <c r="J656" s="18"/>
      <c r="K656" s="18"/>
    </row>
    <row r="657" spans="3:11" x14ac:dyDescent="0.25">
      <c r="C657" s="11"/>
      <c r="D657" s="11"/>
      <c r="E657" s="11"/>
      <c r="F657" s="12"/>
      <c r="G657" s="13"/>
      <c r="H657" s="12"/>
      <c r="I657" s="11"/>
      <c r="J657" s="18"/>
      <c r="K657" s="18"/>
    </row>
    <row r="658" spans="3:11" x14ac:dyDescent="0.25">
      <c r="C658" s="11"/>
      <c r="D658" s="11"/>
      <c r="E658" s="11"/>
      <c r="F658" s="12"/>
      <c r="G658" s="13"/>
      <c r="H658" s="12"/>
      <c r="I658" s="11"/>
      <c r="J658" s="18"/>
      <c r="K658" s="18"/>
    </row>
    <row r="659" spans="3:11" x14ac:dyDescent="0.25">
      <c r="C659" s="11"/>
      <c r="D659" s="11"/>
      <c r="E659" s="11"/>
      <c r="F659" s="12"/>
      <c r="G659" s="13"/>
      <c r="H659" s="12"/>
      <c r="I659" s="11"/>
      <c r="J659" s="18"/>
      <c r="K659" s="18"/>
    </row>
    <row r="660" spans="3:11" x14ac:dyDescent="0.25">
      <c r="C660" s="11"/>
      <c r="D660" s="11"/>
      <c r="E660" s="11"/>
      <c r="F660" s="12"/>
      <c r="G660" s="13"/>
      <c r="H660" s="12"/>
      <c r="I660" s="11"/>
      <c r="J660" s="18"/>
      <c r="K660" s="18"/>
    </row>
    <row r="661" spans="3:11" x14ac:dyDescent="0.25">
      <c r="C661" s="11"/>
      <c r="D661" s="11"/>
      <c r="E661" s="11"/>
      <c r="F661" s="12"/>
      <c r="G661" s="13"/>
      <c r="H661" s="12"/>
      <c r="I661" s="11"/>
      <c r="J661" s="18"/>
      <c r="K661" s="18"/>
    </row>
    <row r="662" spans="3:11" x14ac:dyDescent="0.25">
      <c r="C662" s="11"/>
      <c r="D662" s="11"/>
      <c r="E662" s="11"/>
      <c r="F662" s="12"/>
      <c r="G662" s="13"/>
      <c r="H662" s="12"/>
      <c r="I662" s="11"/>
      <c r="J662" s="18"/>
      <c r="K662" s="18"/>
    </row>
    <row r="663" spans="3:11" x14ac:dyDescent="0.25">
      <c r="C663" s="11"/>
      <c r="D663" s="11"/>
      <c r="E663" s="11"/>
      <c r="F663" s="12"/>
      <c r="G663" s="13"/>
      <c r="H663" s="12"/>
      <c r="I663" s="11"/>
      <c r="J663" s="18"/>
      <c r="K663" s="18"/>
    </row>
    <row r="664" spans="3:11" x14ac:dyDescent="0.25">
      <c r="C664" s="11"/>
      <c r="D664" s="11"/>
      <c r="E664" s="11"/>
      <c r="F664" s="12"/>
      <c r="G664" s="13"/>
      <c r="H664" s="12"/>
      <c r="I664" s="11"/>
      <c r="J664" s="18"/>
      <c r="K664" s="18"/>
    </row>
    <row r="665" spans="3:11" x14ac:dyDescent="0.25">
      <c r="C665" s="11"/>
      <c r="D665" s="11"/>
      <c r="E665" s="11"/>
      <c r="F665" s="12"/>
      <c r="G665" s="13"/>
      <c r="H665" s="12"/>
      <c r="I665" s="11"/>
      <c r="J665" s="18"/>
      <c r="K665" s="18"/>
    </row>
    <row r="666" spans="3:11" x14ac:dyDescent="0.25">
      <c r="C666" s="11"/>
      <c r="D666" s="11"/>
      <c r="E666" s="11"/>
      <c r="F666" s="12"/>
      <c r="G666" s="13"/>
      <c r="H666" s="12"/>
      <c r="I666" s="11"/>
      <c r="J666" s="18"/>
      <c r="K666" s="18"/>
    </row>
    <row r="667" spans="3:11" x14ac:dyDescent="0.25">
      <c r="C667" s="11"/>
      <c r="D667" s="11"/>
      <c r="E667" s="11"/>
      <c r="F667" s="12"/>
      <c r="G667" s="13"/>
      <c r="H667" s="12"/>
      <c r="I667" s="11"/>
      <c r="J667" s="18"/>
      <c r="K667" s="18"/>
    </row>
    <row r="668" spans="3:11" x14ac:dyDescent="0.25">
      <c r="C668" s="11"/>
      <c r="D668" s="11"/>
      <c r="E668" s="11"/>
      <c r="F668" s="12"/>
      <c r="G668" s="13"/>
      <c r="H668" s="12"/>
      <c r="I668" s="11"/>
      <c r="J668" s="18"/>
      <c r="K668" s="18"/>
    </row>
    <row r="669" spans="3:11" x14ac:dyDescent="0.25">
      <c r="C669" s="11"/>
      <c r="D669" s="11"/>
      <c r="E669" s="11"/>
      <c r="F669" s="12"/>
      <c r="G669" s="13"/>
      <c r="H669" s="12"/>
      <c r="I669" s="11"/>
      <c r="J669" s="18"/>
      <c r="K669" s="18"/>
    </row>
    <row r="670" spans="3:11" x14ac:dyDescent="0.25">
      <c r="C670" s="11"/>
      <c r="D670" s="11"/>
      <c r="E670" s="11"/>
      <c r="F670" s="12"/>
      <c r="G670" s="13"/>
      <c r="H670" s="12"/>
      <c r="I670" s="11"/>
      <c r="J670" s="18"/>
      <c r="K670" s="18"/>
    </row>
    <row r="671" spans="3:11" x14ac:dyDescent="0.25">
      <c r="C671" s="11"/>
      <c r="D671" s="11"/>
      <c r="E671" s="11"/>
      <c r="F671" s="12"/>
      <c r="G671" s="13"/>
      <c r="H671" s="12"/>
      <c r="I671" s="11"/>
      <c r="J671" s="18"/>
      <c r="K671" s="18"/>
    </row>
    <row r="672" spans="3:11" x14ac:dyDescent="0.25">
      <c r="C672" s="11"/>
      <c r="D672" s="11"/>
      <c r="E672" s="11"/>
      <c r="F672" s="12"/>
      <c r="G672" s="13"/>
      <c r="H672" s="12"/>
      <c r="I672" s="11"/>
      <c r="J672" s="18"/>
      <c r="K672" s="18"/>
    </row>
    <row r="673" spans="3:11" x14ac:dyDescent="0.25">
      <c r="C673" s="11"/>
      <c r="D673" s="11"/>
      <c r="E673" s="11"/>
      <c r="F673" s="12"/>
      <c r="G673" s="13"/>
      <c r="H673" s="12"/>
      <c r="I673" s="11"/>
      <c r="J673" s="18"/>
      <c r="K673" s="18"/>
    </row>
    <row r="674" spans="3:11" x14ac:dyDescent="0.25">
      <c r="C674" s="11"/>
      <c r="D674" s="11"/>
      <c r="E674" s="11"/>
      <c r="F674" s="12"/>
      <c r="G674" s="13"/>
      <c r="H674" s="12"/>
      <c r="I674" s="11"/>
      <c r="J674" s="18"/>
      <c r="K674" s="18"/>
    </row>
    <row r="675" spans="3:11" x14ac:dyDescent="0.25">
      <c r="C675" s="11"/>
      <c r="D675" s="11"/>
      <c r="E675" s="11"/>
      <c r="F675" s="12"/>
      <c r="G675" s="13"/>
      <c r="H675" s="12"/>
      <c r="I675" s="11"/>
      <c r="J675" s="18"/>
      <c r="K675" s="18"/>
    </row>
    <row r="676" spans="3:11" x14ac:dyDescent="0.25">
      <c r="C676" s="11"/>
      <c r="D676" s="11"/>
      <c r="E676" s="11"/>
      <c r="F676" s="12"/>
      <c r="G676" s="13"/>
      <c r="H676" s="12"/>
      <c r="I676" s="11"/>
      <c r="J676" s="18"/>
      <c r="K676" s="18"/>
    </row>
    <row r="677" spans="3:11" x14ac:dyDescent="0.25">
      <c r="C677" s="11"/>
      <c r="D677" s="11"/>
      <c r="E677" s="11"/>
      <c r="F677" s="12"/>
      <c r="G677" s="13"/>
      <c r="H677" s="12"/>
      <c r="I677" s="11"/>
      <c r="J677" s="18"/>
      <c r="K677" s="18"/>
    </row>
    <row r="678" spans="3:11" x14ac:dyDescent="0.25">
      <c r="C678" s="11"/>
      <c r="D678" s="11"/>
      <c r="E678" s="11"/>
      <c r="F678" s="12"/>
      <c r="G678" s="13"/>
      <c r="H678" s="12"/>
      <c r="I678" s="11"/>
      <c r="J678" s="18"/>
      <c r="K678" s="18"/>
    </row>
    <row r="679" spans="3:11" x14ac:dyDescent="0.25">
      <c r="C679" s="11"/>
      <c r="D679" s="11"/>
      <c r="E679" s="11"/>
      <c r="F679" s="12"/>
      <c r="G679" s="13"/>
      <c r="H679" s="12"/>
      <c r="I679" s="11"/>
      <c r="J679" s="18"/>
      <c r="K679" s="18"/>
    </row>
    <row r="680" spans="3:11" x14ac:dyDescent="0.25">
      <c r="C680" s="11"/>
      <c r="D680" s="11"/>
      <c r="E680" s="11"/>
      <c r="F680" s="12"/>
      <c r="G680" s="13"/>
      <c r="H680" s="12"/>
      <c r="I680" s="11"/>
      <c r="J680" s="18"/>
      <c r="K680" s="18"/>
    </row>
    <row r="681" spans="3:11" x14ac:dyDescent="0.25">
      <c r="C681" s="11"/>
      <c r="D681" s="11"/>
      <c r="E681" s="11"/>
      <c r="F681" s="12"/>
      <c r="G681" s="13"/>
      <c r="H681" s="12"/>
      <c r="I681" s="11"/>
      <c r="J681" s="18"/>
      <c r="K681" s="18"/>
    </row>
    <row r="682" spans="3:11" x14ac:dyDescent="0.25">
      <c r="C682" s="11"/>
      <c r="D682" s="11"/>
      <c r="E682" s="11"/>
      <c r="F682" s="12"/>
      <c r="G682" s="13"/>
      <c r="H682" s="12"/>
      <c r="I682" s="11"/>
      <c r="J682" s="18"/>
      <c r="K682" s="18"/>
    </row>
    <row r="683" spans="3:11" x14ac:dyDescent="0.25">
      <c r="C683" s="11"/>
      <c r="D683" s="11"/>
      <c r="E683" s="11"/>
      <c r="F683" s="12"/>
      <c r="G683" s="13"/>
      <c r="H683" s="12"/>
      <c r="I683" s="11"/>
      <c r="J683" s="18"/>
      <c r="K683" s="18"/>
    </row>
    <row r="684" spans="3:11" x14ac:dyDescent="0.25">
      <c r="C684" s="11"/>
      <c r="D684" s="11"/>
      <c r="E684" s="11"/>
      <c r="F684" s="12"/>
      <c r="G684" s="13"/>
      <c r="H684" s="12"/>
      <c r="I684" s="11"/>
      <c r="J684" s="18"/>
      <c r="K684" s="18"/>
    </row>
    <row r="685" spans="3:11" x14ac:dyDescent="0.25">
      <c r="C685" s="11"/>
      <c r="D685" s="11"/>
      <c r="E685" s="11"/>
      <c r="F685" s="12"/>
      <c r="G685" s="13"/>
      <c r="H685" s="12"/>
      <c r="I685" s="11"/>
      <c r="J685" s="18"/>
      <c r="K685" s="18"/>
    </row>
    <row r="686" spans="3:11" x14ac:dyDescent="0.25">
      <c r="C686" s="11"/>
      <c r="D686" s="11"/>
      <c r="E686" s="11"/>
      <c r="F686" s="12"/>
      <c r="G686" s="13"/>
      <c r="H686" s="12"/>
      <c r="I686" s="11"/>
      <c r="J686" s="18"/>
      <c r="K686" s="18"/>
    </row>
    <row r="687" spans="3:11" x14ac:dyDescent="0.25">
      <c r="C687" s="11"/>
      <c r="D687" s="11"/>
      <c r="E687" s="11"/>
      <c r="F687" s="12"/>
      <c r="G687" s="13"/>
      <c r="H687" s="12"/>
      <c r="I687" s="11"/>
      <c r="J687" s="18"/>
      <c r="K687" s="18"/>
    </row>
    <row r="688" spans="3:11" x14ac:dyDescent="0.25">
      <c r="C688" s="11"/>
      <c r="D688" s="11"/>
      <c r="E688" s="11"/>
      <c r="F688" s="12"/>
      <c r="G688" s="13"/>
      <c r="H688" s="12"/>
      <c r="I688" s="11"/>
      <c r="J688" s="18"/>
      <c r="K688" s="18"/>
    </row>
    <row r="689" spans="3:11" x14ac:dyDescent="0.25">
      <c r="C689" s="11"/>
      <c r="D689" s="11"/>
      <c r="E689" s="11"/>
      <c r="F689" s="12"/>
      <c r="G689" s="13"/>
      <c r="H689" s="12"/>
      <c r="I689" s="11"/>
      <c r="J689" s="18"/>
      <c r="K689" s="18"/>
    </row>
    <row r="690" spans="3:11" x14ac:dyDescent="0.25">
      <c r="C690" s="11"/>
      <c r="D690" s="11"/>
      <c r="E690" s="11"/>
      <c r="F690" s="12"/>
      <c r="G690" s="13"/>
      <c r="H690" s="12"/>
      <c r="I690" s="11"/>
      <c r="J690" s="18"/>
      <c r="K690" s="18"/>
    </row>
    <row r="691" spans="3:11" x14ac:dyDescent="0.25">
      <c r="C691" s="11"/>
      <c r="D691" s="11"/>
      <c r="E691" s="11"/>
      <c r="F691" s="12"/>
      <c r="G691" s="13"/>
      <c r="H691" s="12"/>
      <c r="I691" s="11"/>
      <c r="J691" s="18"/>
      <c r="K691" s="18"/>
    </row>
    <row r="692" spans="3:11" x14ac:dyDescent="0.25">
      <c r="C692" s="11"/>
      <c r="D692" s="11"/>
      <c r="E692" s="11"/>
      <c r="F692" s="12"/>
      <c r="G692" s="13"/>
      <c r="H692" s="12"/>
      <c r="I692" s="11"/>
      <c r="J692" s="18"/>
      <c r="K692" s="18"/>
    </row>
    <row r="693" spans="3:11" x14ac:dyDescent="0.25">
      <c r="C693" s="11"/>
      <c r="D693" s="11"/>
      <c r="E693" s="11"/>
      <c r="F693" s="12"/>
      <c r="G693" s="13"/>
      <c r="H693" s="12"/>
      <c r="I693" s="11"/>
      <c r="J693" s="18"/>
      <c r="K693" s="18"/>
    </row>
    <row r="694" spans="3:11" x14ac:dyDescent="0.25">
      <c r="C694" s="11"/>
      <c r="D694" s="11"/>
      <c r="E694" s="11"/>
      <c r="F694" s="12"/>
      <c r="G694" s="13"/>
      <c r="H694" s="12"/>
      <c r="I694" s="11"/>
      <c r="J694" s="18"/>
      <c r="K694" s="18"/>
    </row>
    <row r="695" spans="3:11" x14ac:dyDescent="0.25">
      <c r="C695" s="11"/>
      <c r="D695" s="11"/>
      <c r="E695" s="11"/>
      <c r="F695" s="12"/>
      <c r="G695" s="13"/>
      <c r="H695" s="12"/>
      <c r="I695" s="11"/>
      <c r="J695" s="18"/>
      <c r="K695" s="18"/>
    </row>
    <row r="696" spans="3:11" x14ac:dyDescent="0.25">
      <c r="C696" s="11"/>
      <c r="D696" s="11"/>
      <c r="E696" s="11"/>
      <c r="F696" s="12"/>
      <c r="G696" s="13"/>
      <c r="H696" s="12"/>
      <c r="I696" s="11"/>
      <c r="J696" s="18"/>
      <c r="K696" s="18"/>
    </row>
    <row r="697" spans="3:11" x14ac:dyDescent="0.25">
      <c r="C697" s="11"/>
      <c r="D697" s="11"/>
      <c r="E697" s="11"/>
      <c r="F697" s="12"/>
      <c r="G697" s="13"/>
      <c r="H697" s="12"/>
      <c r="I697" s="11"/>
      <c r="J697" s="18"/>
      <c r="K697" s="18"/>
    </row>
    <row r="698" spans="3:11" x14ac:dyDescent="0.25">
      <c r="C698" s="11"/>
      <c r="D698" s="11"/>
      <c r="E698" s="11"/>
      <c r="F698" s="12"/>
      <c r="G698" s="13"/>
      <c r="H698" s="12"/>
      <c r="I698" s="11"/>
      <c r="J698" s="18"/>
      <c r="K698" s="18"/>
    </row>
    <row r="699" spans="3:11" x14ac:dyDescent="0.25">
      <c r="C699" s="11"/>
      <c r="D699" s="11"/>
      <c r="E699" s="11"/>
      <c r="F699" s="12"/>
      <c r="G699" s="13"/>
      <c r="H699" s="12"/>
      <c r="I699" s="11"/>
      <c r="J699" s="18"/>
      <c r="K699" s="18"/>
    </row>
    <row r="700" spans="3:11" x14ac:dyDescent="0.25">
      <c r="C700" s="11"/>
      <c r="D700" s="11"/>
      <c r="E700" s="11"/>
      <c r="F700" s="12"/>
      <c r="G700" s="13"/>
      <c r="H700" s="12"/>
      <c r="I700" s="11"/>
      <c r="J700" s="18"/>
      <c r="K700" s="18"/>
    </row>
    <row r="701" spans="3:11" x14ac:dyDescent="0.25">
      <c r="C701" s="11"/>
      <c r="D701" s="11"/>
      <c r="E701" s="11"/>
      <c r="F701" s="12"/>
      <c r="G701" s="13"/>
      <c r="H701" s="12"/>
      <c r="I701" s="11"/>
      <c r="J701" s="18"/>
      <c r="K701" s="18"/>
    </row>
    <row r="702" spans="3:11" x14ac:dyDescent="0.25">
      <c r="C702" s="11"/>
      <c r="D702" s="11"/>
      <c r="E702" s="11"/>
      <c r="F702" s="12"/>
      <c r="G702" s="13"/>
      <c r="H702" s="12"/>
      <c r="I702" s="11"/>
      <c r="J702" s="18"/>
      <c r="K702" s="18"/>
    </row>
    <row r="703" spans="3:11" x14ac:dyDescent="0.25">
      <c r="C703" s="11"/>
      <c r="D703" s="11"/>
      <c r="E703" s="11"/>
      <c r="F703" s="12"/>
      <c r="G703" s="13"/>
      <c r="H703" s="12"/>
      <c r="I703" s="11"/>
      <c r="J703" s="18"/>
      <c r="K703" s="18"/>
    </row>
    <row r="704" spans="3:11" x14ac:dyDescent="0.25">
      <c r="C704" s="11"/>
      <c r="D704" s="11"/>
      <c r="E704" s="11"/>
      <c r="F704" s="12"/>
      <c r="G704" s="13"/>
      <c r="H704" s="12"/>
      <c r="I704" s="11"/>
      <c r="J704" s="18"/>
      <c r="K704" s="18"/>
    </row>
    <row r="705" spans="3:11" x14ac:dyDescent="0.25">
      <c r="C705" s="11"/>
      <c r="D705" s="11"/>
      <c r="E705" s="11"/>
      <c r="F705" s="12"/>
      <c r="G705" s="13"/>
      <c r="H705" s="12"/>
      <c r="I705" s="11"/>
      <c r="J705" s="18"/>
      <c r="K705" s="18"/>
    </row>
    <row r="706" spans="3:11" x14ac:dyDescent="0.25">
      <c r="C706" s="11"/>
      <c r="D706" s="11"/>
      <c r="E706" s="11"/>
      <c r="F706" s="12"/>
      <c r="G706" s="13"/>
      <c r="H706" s="12"/>
      <c r="I706" s="11"/>
      <c r="J706" s="18"/>
      <c r="K706" s="18"/>
    </row>
    <row r="707" spans="3:11" x14ac:dyDescent="0.25">
      <c r="C707" s="11"/>
      <c r="D707" s="11"/>
      <c r="E707" s="11"/>
      <c r="F707" s="12"/>
      <c r="G707" s="13"/>
      <c r="H707" s="12"/>
      <c r="I707" s="11"/>
      <c r="J707" s="18"/>
      <c r="K707" s="18"/>
    </row>
    <row r="708" spans="3:11" x14ac:dyDescent="0.25">
      <c r="C708" s="11"/>
      <c r="D708" s="11"/>
      <c r="E708" s="11"/>
      <c r="F708" s="12"/>
      <c r="G708" s="13"/>
      <c r="H708" s="12"/>
      <c r="I708" s="11"/>
      <c r="J708" s="18"/>
      <c r="K708" s="18"/>
    </row>
    <row r="709" spans="3:11" x14ac:dyDescent="0.25">
      <c r="C709" s="11"/>
      <c r="D709" s="11"/>
      <c r="E709" s="11"/>
      <c r="F709" s="12"/>
      <c r="G709" s="13"/>
      <c r="H709" s="12"/>
      <c r="I709" s="11"/>
      <c r="J709" s="18"/>
      <c r="K709" s="18"/>
    </row>
    <row r="710" spans="3:11" x14ac:dyDescent="0.25">
      <c r="C710" s="11"/>
      <c r="D710" s="11"/>
      <c r="E710" s="11"/>
      <c r="F710" s="12"/>
      <c r="G710" s="13"/>
      <c r="H710" s="12"/>
      <c r="I710" s="11"/>
      <c r="J710" s="18"/>
      <c r="K710" s="18"/>
    </row>
    <row r="711" spans="3:11" x14ac:dyDescent="0.25">
      <c r="C711" s="11"/>
      <c r="D711" s="11"/>
      <c r="E711" s="11"/>
      <c r="F711" s="12"/>
      <c r="G711" s="13"/>
      <c r="H711" s="12"/>
      <c r="I711" s="11"/>
      <c r="J711" s="18"/>
      <c r="K711" s="18"/>
    </row>
    <row r="712" spans="3:11" x14ac:dyDescent="0.25">
      <c r="C712" s="11"/>
      <c r="D712" s="11"/>
      <c r="E712" s="11"/>
      <c r="F712" s="12"/>
      <c r="G712" s="13"/>
      <c r="H712" s="12"/>
      <c r="I712" s="11"/>
      <c r="J712" s="18"/>
      <c r="K712" s="18"/>
    </row>
    <row r="713" spans="3:11" x14ac:dyDescent="0.25">
      <c r="C713" s="11"/>
      <c r="D713" s="11"/>
      <c r="E713" s="11"/>
      <c r="F713" s="12"/>
      <c r="G713" s="13"/>
      <c r="H713" s="12"/>
      <c r="I713" s="11"/>
      <c r="J713" s="18"/>
      <c r="K713" s="18"/>
    </row>
    <row r="714" spans="3:11" x14ac:dyDescent="0.25">
      <c r="C714" s="11"/>
      <c r="D714" s="11"/>
      <c r="E714" s="11"/>
      <c r="F714" s="12"/>
      <c r="G714" s="13"/>
      <c r="H714" s="12"/>
      <c r="I714" s="11"/>
      <c r="J714" s="18"/>
      <c r="K714" s="18"/>
    </row>
    <row r="715" spans="3:11" x14ac:dyDescent="0.25">
      <c r="C715" s="11"/>
      <c r="D715" s="11"/>
      <c r="E715" s="11"/>
      <c r="F715" s="12"/>
      <c r="G715" s="13"/>
      <c r="H715" s="12"/>
      <c r="I715" s="11"/>
      <c r="J715" s="18"/>
      <c r="K715" s="18"/>
    </row>
    <row r="716" spans="3:11" x14ac:dyDescent="0.25">
      <c r="C716" s="11"/>
      <c r="D716" s="11"/>
      <c r="E716" s="11"/>
      <c r="F716" s="12"/>
      <c r="G716" s="13"/>
      <c r="H716" s="12"/>
      <c r="I716" s="11"/>
      <c r="J716" s="18"/>
      <c r="K716" s="18"/>
    </row>
    <row r="717" spans="3:11" x14ac:dyDescent="0.25">
      <c r="C717" s="11"/>
      <c r="D717" s="11"/>
      <c r="E717" s="11"/>
      <c r="F717" s="12"/>
      <c r="G717" s="13"/>
      <c r="H717" s="12"/>
      <c r="I717" s="11"/>
      <c r="J717" s="18"/>
      <c r="K717" s="18"/>
    </row>
    <row r="718" spans="3:11" x14ac:dyDescent="0.25">
      <c r="C718" s="11"/>
      <c r="D718" s="11"/>
      <c r="E718" s="11"/>
      <c r="F718" s="12"/>
      <c r="G718" s="13"/>
      <c r="H718" s="12"/>
      <c r="I718" s="11"/>
      <c r="J718" s="18"/>
      <c r="K718" s="18"/>
    </row>
    <row r="719" spans="3:11" x14ac:dyDescent="0.25">
      <c r="C719" s="11"/>
      <c r="D719" s="11"/>
      <c r="E719" s="11"/>
      <c r="F719" s="12"/>
      <c r="G719" s="13"/>
      <c r="H719" s="12"/>
      <c r="I719" s="11"/>
      <c r="J719" s="18"/>
      <c r="K719" s="18"/>
    </row>
    <row r="720" spans="3:11" x14ac:dyDescent="0.25">
      <c r="C720" s="11"/>
      <c r="D720" s="11"/>
      <c r="E720" s="11"/>
      <c r="F720" s="12"/>
      <c r="G720" s="13"/>
      <c r="H720" s="12"/>
      <c r="I720" s="11"/>
      <c r="J720" s="18"/>
      <c r="K720" s="18"/>
    </row>
    <row r="721" spans="3:11" x14ac:dyDescent="0.25">
      <c r="C721" s="11"/>
      <c r="D721" s="11"/>
      <c r="E721" s="11"/>
      <c r="F721" s="12"/>
      <c r="G721" s="13"/>
      <c r="H721" s="12"/>
      <c r="I721" s="11"/>
      <c r="J721" s="18"/>
      <c r="K721" s="18"/>
    </row>
    <row r="722" spans="3:11" x14ac:dyDescent="0.25">
      <c r="C722" s="11"/>
      <c r="D722" s="11"/>
      <c r="E722" s="11"/>
      <c r="F722" s="12"/>
      <c r="G722" s="13"/>
      <c r="H722" s="12"/>
      <c r="I722" s="11"/>
      <c r="J722" s="18"/>
      <c r="K722" s="18"/>
    </row>
    <row r="723" spans="3:11" x14ac:dyDescent="0.25">
      <c r="C723" s="11"/>
      <c r="D723" s="11"/>
      <c r="E723" s="11"/>
      <c r="F723" s="12"/>
      <c r="G723" s="13"/>
      <c r="H723" s="12"/>
      <c r="I723" s="11"/>
      <c r="J723" s="18"/>
      <c r="K723" s="18"/>
    </row>
    <row r="724" spans="3:11" x14ac:dyDescent="0.25">
      <c r="C724" s="11"/>
      <c r="D724" s="11"/>
      <c r="E724" s="11"/>
      <c r="F724" s="12"/>
      <c r="G724" s="13"/>
      <c r="H724" s="12"/>
      <c r="I724" s="11"/>
      <c r="J724" s="18"/>
      <c r="K724" s="18"/>
    </row>
    <row r="725" spans="3:11" x14ac:dyDescent="0.25">
      <c r="C725" s="11"/>
      <c r="D725" s="11"/>
      <c r="E725" s="11"/>
      <c r="F725" s="12"/>
      <c r="G725" s="13"/>
      <c r="H725" s="12"/>
      <c r="I725" s="11"/>
      <c r="J725" s="18"/>
      <c r="K725" s="18"/>
    </row>
    <row r="726" spans="3:11" x14ac:dyDescent="0.25">
      <c r="C726" s="11"/>
      <c r="D726" s="11"/>
      <c r="E726" s="11"/>
      <c r="F726" s="12"/>
      <c r="G726" s="13"/>
      <c r="H726" s="12"/>
      <c r="I726" s="11"/>
      <c r="J726" s="18"/>
      <c r="K726" s="18"/>
    </row>
    <row r="727" spans="3:11" x14ac:dyDescent="0.25">
      <c r="C727" s="11"/>
      <c r="D727" s="11"/>
      <c r="E727" s="11"/>
      <c r="F727" s="12"/>
      <c r="G727" s="13"/>
      <c r="H727" s="12"/>
      <c r="I727" s="11"/>
      <c r="J727" s="18"/>
      <c r="K727" s="18"/>
    </row>
    <row r="728" spans="3:11" x14ac:dyDescent="0.25">
      <c r="C728" s="11"/>
      <c r="D728" s="11"/>
      <c r="E728" s="11"/>
      <c r="F728" s="12"/>
      <c r="G728" s="13"/>
      <c r="H728" s="12"/>
      <c r="I728" s="11"/>
      <c r="J728" s="18"/>
      <c r="K728" s="18"/>
    </row>
    <row r="729" spans="3:11" x14ac:dyDescent="0.25">
      <c r="C729" s="11"/>
      <c r="D729" s="11"/>
      <c r="E729" s="11"/>
      <c r="F729" s="12"/>
      <c r="G729" s="13"/>
      <c r="H729" s="12"/>
      <c r="I729" s="11"/>
      <c r="J729" s="18"/>
      <c r="K729" s="18"/>
    </row>
    <row r="730" spans="3:11" x14ac:dyDescent="0.25">
      <c r="C730" s="11"/>
      <c r="D730" s="11"/>
      <c r="E730" s="11"/>
      <c r="F730" s="12"/>
      <c r="G730" s="13"/>
      <c r="H730" s="12"/>
      <c r="I730" s="11"/>
      <c r="J730" s="18"/>
      <c r="K730" s="18"/>
    </row>
    <row r="731" spans="3:11" x14ac:dyDescent="0.25">
      <c r="C731" s="11"/>
      <c r="D731" s="11"/>
      <c r="E731" s="11"/>
      <c r="F731" s="12"/>
      <c r="G731" s="13"/>
      <c r="H731" s="12"/>
      <c r="I731" s="11"/>
      <c r="J731" s="18"/>
      <c r="K731" s="18"/>
    </row>
    <row r="732" spans="3:11" x14ac:dyDescent="0.25">
      <c r="C732" s="11"/>
      <c r="D732" s="11"/>
      <c r="E732" s="11"/>
      <c r="F732" s="12"/>
      <c r="G732" s="13"/>
      <c r="H732" s="12"/>
      <c r="I732" s="11"/>
      <c r="J732" s="18"/>
      <c r="K732" s="18"/>
    </row>
    <row r="733" spans="3:11" x14ac:dyDescent="0.25">
      <c r="C733" s="11"/>
      <c r="D733" s="11"/>
      <c r="E733" s="11"/>
      <c r="F733" s="12"/>
      <c r="G733" s="13"/>
      <c r="H733" s="12"/>
      <c r="I733" s="11"/>
      <c r="J733" s="18"/>
      <c r="K733" s="18"/>
    </row>
    <row r="734" spans="3:11" x14ac:dyDescent="0.25">
      <c r="C734" s="11"/>
      <c r="D734" s="11"/>
      <c r="E734" s="11"/>
      <c r="F734" s="12"/>
      <c r="G734" s="13"/>
      <c r="H734" s="12"/>
      <c r="I734" s="11"/>
      <c r="J734" s="18"/>
      <c r="K734" s="18"/>
    </row>
    <row r="735" spans="3:11" x14ac:dyDescent="0.25">
      <c r="C735" s="11"/>
      <c r="D735" s="11"/>
      <c r="E735" s="11"/>
      <c r="F735" s="12"/>
      <c r="G735" s="13"/>
      <c r="H735" s="12"/>
      <c r="I735" s="11"/>
      <c r="J735" s="18"/>
      <c r="K735" s="18"/>
    </row>
    <row r="736" spans="3:11" x14ac:dyDescent="0.25">
      <c r="C736" s="11"/>
      <c r="D736" s="11"/>
      <c r="E736" s="11"/>
      <c r="F736" s="12"/>
      <c r="G736" s="13"/>
      <c r="H736" s="12"/>
      <c r="I736" s="11"/>
      <c r="J736" s="18"/>
      <c r="K736" s="18"/>
    </row>
    <row r="737" spans="3:11" x14ac:dyDescent="0.25">
      <c r="C737" s="11"/>
      <c r="D737" s="11"/>
      <c r="E737" s="11"/>
      <c r="F737" s="12"/>
      <c r="G737" s="13"/>
      <c r="H737" s="12"/>
      <c r="I737" s="11"/>
      <c r="J737" s="18"/>
      <c r="K737" s="18"/>
    </row>
    <row r="738" spans="3:11" x14ac:dyDescent="0.25">
      <c r="C738" s="11"/>
      <c r="D738" s="11"/>
      <c r="E738" s="11"/>
      <c r="F738" s="12"/>
      <c r="G738" s="13"/>
      <c r="H738" s="12"/>
      <c r="I738" s="11"/>
      <c r="J738" s="18"/>
      <c r="K738" s="18"/>
    </row>
    <row r="739" spans="3:11" x14ac:dyDescent="0.25">
      <c r="C739" s="11"/>
      <c r="D739" s="11"/>
      <c r="E739" s="11"/>
      <c r="F739" s="12"/>
      <c r="G739" s="13"/>
      <c r="H739" s="12"/>
      <c r="I739" s="11"/>
      <c r="J739" s="18"/>
      <c r="K739" s="18"/>
    </row>
    <row r="740" spans="3:11" x14ac:dyDescent="0.25">
      <c r="C740" s="11"/>
      <c r="D740" s="11"/>
      <c r="E740" s="11"/>
      <c r="F740" s="12"/>
      <c r="G740" s="13"/>
      <c r="H740" s="12"/>
      <c r="I740" s="11"/>
      <c r="J740" s="18"/>
      <c r="K740" s="18"/>
    </row>
    <row r="741" spans="3:11" x14ac:dyDescent="0.25">
      <c r="C741" s="11"/>
      <c r="D741" s="11"/>
      <c r="E741" s="11"/>
      <c r="F741" s="12"/>
      <c r="G741" s="13"/>
      <c r="H741" s="12"/>
      <c r="I741" s="11"/>
      <c r="J741" s="18"/>
      <c r="K741" s="18"/>
    </row>
    <row r="742" spans="3:11" x14ac:dyDescent="0.25">
      <c r="C742" s="11"/>
      <c r="D742" s="11"/>
      <c r="E742" s="11"/>
      <c r="F742" s="12"/>
      <c r="G742" s="13"/>
      <c r="H742" s="12"/>
      <c r="I742" s="11"/>
      <c r="J742" s="18"/>
      <c r="K742" s="18"/>
    </row>
    <row r="743" spans="3:11" x14ac:dyDescent="0.25">
      <c r="C743" s="11"/>
      <c r="D743" s="11"/>
      <c r="E743" s="11"/>
      <c r="F743" s="12"/>
      <c r="G743" s="13"/>
      <c r="H743" s="12"/>
      <c r="I743" s="11"/>
      <c r="J743" s="18"/>
      <c r="K743" s="18"/>
    </row>
    <row r="744" spans="3:11" x14ac:dyDescent="0.25">
      <c r="C744" s="11"/>
      <c r="D744" s="11"/>
      <c r="E744" s="11"/>
      <c r="F744" s="12"/>
      <c r="G744" s="13"/>
      <c r="H744" s="12"/>
      <c r="I744" s="11"/>
      <c r="J744" s="18"/>
      <c r="K744" s="18"/>
    </row>
    <row r="745" spans="3:11" x14ac:dyDescent="0.25">
      <c r="C745" s="11"/>
      <c r="D745" s="11"/>
      <c r="E745" s="11"/>
      <c r="F745" s="12"/>
      <c r="G745" s="13"/>
      <c r="H745" s="12"/>
      <c r="I745" s="11"/>
      <c r="J745" s="18"/>
      <c r="K745" s="18"/>
    </row>
    <row r="746" spans="3:11" x14ac:dyDescent="0.25">
      <c r="C746" s="11"/>
      <c r="D746" s="11"/>
      <c r="E746" s="11"/>
      <c r="F746" s="12"/>
      <c r="G746" s="13"/>
      <c r="H746" s="12"/>
      <c r="I746" s="11"/>
      <c r="J746" s="18"/>
      <c r="K746" s="18"/>
    </row>
    <row r="747" spans="3:11" x14ac:dyDescent="0.25">
      <c r="C747" s="11"/>
      <c r="D747" s="11"/>
      <c r="E747" s="11"/>
      <c r="F747" s="12"/>
      <c r="G747" s="13"/>
      <c r="H747" s="12"/>
      <c r="I747" s="11"/>
      <c r="J747" s="18"/>
      <c r="K747" s="18"/>
    </row>
    <row r="748" spans="3:11" x14ac:dyDescent="0.25">
      <c r="C748" s="11"/>
      <c r="D748" s="11"/>
      <c r="E748" s="11"/>
      <c r="F748" s="12"/>
      <c r="G748" s="13"/>
      <c r="H748" s="12"/>
      <c r="I748" s="11"/>
      <c r="J748" s="18"/>
      <c r="K748" s="18"/>
    </row>
    <row r="749" spans="3:11" x14ac:dyDescent="0.25">
      <c r="C749" s="11"/>
      <c r="D749" s="11"/>
      <c r="E749" s="11"/>
      <c r="F749" s="12"/>
      <c r="G749" s="13"/>
      <c r="H749" s="12"/>
      <c r="I749" s="11"/>
      <c r="J749" s="18"/>
      <c r="K749" s="18"/>
    </row>
    <row r="750" spans="3:11" x14ac:dyDescent="0.25">
      <c r="C750" s="11"/>
      <c r="D750" s="11"/>
      <c r="E750" s="11"/>
      <c r="F750" s="12"/>
      <c r="G750" s="13"/>
      <c r="H750" s="12"/>
      <c r="I750" s="11"/>
      <c r="J750" s="18"/>
      <c r="K750" s="18"/>
    </row>
    <row r="751" spans="3:11" x14ac:dyDescent="0.25">
      <c r="C751" s="11"/>
      <c r="D751" s="11"/>
      <c r="E751" s="11"/>
      <c r="F751" s="12"/>
      <c r="G751" s="13"/>
      <c r="H751" s="12"/>
      <c r="I751" s="11"/>
      <c r="J751" s="18"/>
      <c r="K751" s="18"/>
    </row>
    <row r="752" spans="3:11" x14ac:dyDescent="0.25">
      <c r="C752" s="11"/>
      <c r="D752" s="11"/>
      <c r="E752" s="11"/>
      <c r="F752" s="12"/>
      <c r="G752" s="13"/>
      <c r="H752" s="12"/>
      <c r="I752" s="11"/>
      <c r="J752" s="18"/>
      <c r="K752" s="18"/>
    </row>
    <row r="753" spans="3:11" x14ac:dyDescent="0.25">
      <c r="C753" s="11"/>
      <c r="D753" s="11"/>
      <c r="E753" s="11"/>
      <c r="F753" s="12"/>
      <c r="G753" s="13"/>
      <c r="H753" s="12"/>
      <c r="I753" s="11"/>
      <c r="J753" s="18"/>
      <c r="K753" s="18"/>
    </row>
    <row r="754" spans="3:11" x14ac:dyDescent="0.25">
      <c r="C754" s="11"/>
      <c r="D754" s="11"/>
      <c r="E754" s="11"/>
      <c r="F754" s="12"/>
      <c r="G754" s="13"/>
      <c r="H754" s="12"/>
      <c r="I754" s="11"/>
      <c r="J754" s="18"/>
      <c r="K754" s="18"/>
    </row>
    <row r="755" spans="3:11" x14ac:dyDescent="0.25">
      <c r="C755" s="11"/>
      <c r="D755" s="11"/>
      <c r="E755" s="11"/>
      <c r="F755" s="12"/>
      <c r="G755" s="13"/>
      <c r="H755" s="12"/>
      <c r="I755" s="11"/>
      <c r="J755" s="18"/>
      <c r="K755" s="18"/>
    </row>
    <row r="756" spans="3:11" x14ac:dyDescent="0.25">
      <c r="C756" s="11"/>
      <c r="D756" s="11"/>
      <c r="E756" s="11"/>
      <c r="F756" s="12"/>
      <c r="G756" s="13"/>
      <c r="H756" s="12"/>
      <c r="I756" s="11"/>
      <c r="J756" s="18"/>
      <c r="K756" s="18"/>
    </row>
    <row r="757" spans="3:11" x14ac:dyDescent="0.25">
      <c r="C757" s="11"/>
      <c r="D757" s="11"/>
      <c r="E757" s="11"/>
      <c r="F757" s="12"/>
      <c r="G757" s="13"/>
      <c r="H757" s="12"/>
      <c r="I757" s="11"/>
      <c r="J757" s="18"/>
      <c r="K757" s="18"/>
    </row>
    <row r="758" spans="3:11" x14ac:dyDescent="0.25">
      <c r="C758" s="11"/>
      <c r="D758" s="11"/>
      <c r="E758" s="11"/>
      <c r="F758" s="12"/>
      <c r="G758" s="13"/>
      <c r="H758" s="12"/>
      <c r="I758" s="11"/>
      <c r="J758" s="18"/>
      <c r="K758" s="18"/>
    </row>
    <row r="759" spans="3:11" x14ac:dyDescent="0.25">
      <c r="C759" s="11"/>
      <c r="D759" s="11"/>
      <c r="E759" s="11"/>
      <c r="F759" s="12"/>
      <c r="G759" s="13"/>
      <c r="H759" s="12"/>
      <c r="I759" s="11"/>
      <c r="J759" s="18"/>
      <c r="K759" s="18"/>
    </row>
    <row r="760" spans="3:11" x14ac:dyDescent="0.25">
      <c r="C760" s="11"/>
      <c r="D760" s="11"/>
      <c r="E760" s="11"/>
      <c r="F760" s="12"/>
      <c r="G760" s="13"/>
      <c r="H760" s="12"/>
      <c r="I760" s="11"/>
      <c r="J760" s="18"/>
      <c r="K760" s="18"/>
    </row>
    <row r="761" spans="3:11" x14ac:dyDescent="0.25">
      <c r="C761" s="11"/>
      <c r="D761" s="11"/>
      <c r="E761" s="11"/>
      <c r="F761" s="12"/>
      <c r="G761" s="13"/>
      <c r="H761" s="12"/>
      <c r="I761" s="11"/>
      <c r="J761" s="18"/>
      <c r="K761" s="18"/>
    </row>
    <row r="762" spans="3:11" x14ac:dyDescent="0.25">
      <c r="C762" s="11"/>
      <c r="D762" s="11"/>
      <c r="E762" s="11"/>
      <c r="F762" s="12"/>
      <c r="G762" s="13"/>
      <c r="H762" s="12"/>
      <c r="I762" s="11"/>
      <c r="J762" s="18"/>
      <c r="K762" s="18"/>
    </row>
    <row r="763" spans="3:11" x14ac:dyDescent="0.25">
      <c r="C763" s="11"/>
      <c r="D763" s="11"/>
      <c r="E763" s="11"/>
      <c r="F763" s="12"/>
      <c r="G763" s="13"/>
      <c r="H763" s="12"/>
      <c r="I763" s="11"/>
      <c r="J763" s="18"/>
      <c r="K763" s="18"/>
    </row>
    <row r="764" spans="3:11" x14ac:dyDescent="0.25">
      <c r="C764" s="11"/>
      <c r="D764" s="11"/>
      <c r="E764" s="11"/>
      <c r="F764" s="12"/>
      <c r="G764" s="13"/>
      <c r="H764" s="12"/>
      <c r="I764" s="11"/>
      <c r="J764" s="18"/>
      <c r="K764" s="18"/>
    </row>
    <row r="765" spans="3:11" x14ac:dyDescent="0.25">
      <c r="C765" s="11"/>
      <c r="D765" s="11"/>
      <c r="E765" s="11"/>
      <c r="F765" s="12"/>
      <c r="G765" s="13"/>
      <c r="H765" s="12"/>
      <c r="I765" s="11"/>
      <c r="J765" s="18"/>
      <c r="K765" s="18"/>
    </row>
    <row r="766" spans="3:11" x14ac:dyDescent="0.25">
      <c r="C766" s="11"/>
      <c r="D766" s="11"/>
      <c r="E766" s="11"/>
      <c r="F766" s="12"/>
      <c r="G766" s="13"/>
      <c r="H766" s="12"/>
      <c r="I766" s="11"/>
      <c r="J766" s="18"/>
      <c r="K766" s="18"/>
    </row>
    <row r="767" spans="3:11" x14ac:dyDescent="0.25">
      <c r="C767" s="11"/>
      <c r="D767" s="11"/>
      <c r="E767" s="11"/>
      <c r="F767" s="12"/>
      <c r="G767" s="13"/>
      <c r="H767" s="12"/>
      <c r="I767" s="11"/>
      <c r="J767" s="18"/>
      <c r="K767" s="18"/>
    </row>
    <row r="768" spans="3:11" x14ac:dyDescent="0.25">
      <c r="C768" s="11"/>
      <c r="D768" s="11"/>
      <c r="E768" s="11"/>
      <c r="F768" s="12"/>
      <c r="G768" s="13"/>
      <c r="H768" s="12"/>
      <c r="I768" s="11"/>
      <c r="J768" s="18"/>
      <c r="K768" s="18"/>
    </row>
    <row r="769" spans="3:11" x14ac:dyDescent="0.25">
      <c r="C769" s="11"/>
      <c r="D769" s="11"/>
      <c r="E769" s="11"/>
      <c r="F769" s="12"/>
      <c r="G769" s="13"/>
      <c r="H769" s="12"/>
      <c r="I769" s="11"/>
      <c r="J769" s="18"/>
      <c r="K769" s="18"/>
    </row>
    <row r="770" spans="3:11" x14ac:dyDescent="0.25">
      <c r="C770" s="11"/>
      <c r="D770" s="11"/>
      <c r="E770" s="11"/>
      <c r="F770" s="12"/>
      <c r="G770" s="13"/>
      <c r="H770" s="12"/>
      <c r="I770" s="11"/>
      <c r="J770" s="18"/>
      <c r="K770" s="18"/>
    </row>
    <row r="771" spans="3:11" x14ac:dyDescent="0.25">
      <c r="C771" s="11"/>
      <c r="D771" s="11"/>
      <c r="E771" s="11"/>
      <c r="F771" s="12"/>
      <c r="G771" s="13"/>
      <c r="H771" s="12"/>
      <c r="I771" s="11"/>
      <c r="J771" s="18"/>
      <c r="K771" s="18"/>
    </row>
    <row r="772" spans="3:11" x14ac:dyDescent="0.25">
      <c r="C772" s="11"/>
      <c r="D772" s="11"/>
      <c r="E772" s="11"/>
      <c r="F772" s="12"/>
      <c r="G772" s="13"/>
      <c r="H772" s="12"/>
      <c r="I772" s="11"/>
      <c r="J772" s="18"/>
      <c r="K772" s="18"/>
    </row>
    <row r="773" spans="3:11" x14ac:dyDescent="0.25">
      <c r="C773" s="11"/>
      <c r="D773" s="11"/>
      <c r="E773" s="11"/>
      <c r="F773" s="12"/>
      <c r="G773" s="13"/>
      <c r="H773" s="12"/>
      <c r="I773" s="11"/>
      <c r="J773" s="18"/>
      <c r="K773" s="18"/>
    </row>
    <row r="774" spans="3:11" x14ac:dyDescent="0.25">
      <c r="C774" s="11"/>
      <c r="D774" s="11"/>
      <c r="E774" s="11"/>
      <c r="F774" s="12"/>
      <c r="G774" s="13"/>
      <c r="H774" s="12"/>
      <c r="I774" s="11"/>
      <c r="J774" s="18"/>
      <c r="K774" s="18"/>
    </row>
    <row r="775" spans="3:11" x14ac:dyDescent="0.25">
      <c r="C775" s="11"/>
      <c r="D775" s="11"/>
      <c r="E775" s="11"/>
      <c r="F775" s="12"/>
      <c r="G775" s="13"/>
      <c r="H775" s="12"/>
      <c r="I775" s="11"/>
      <c r="J775" s="18"/>
      <c r="K775" s="18"/>
    </row>
    <row r="776" spans="3:11" x14ac:dyDescent="0.25">
      <c r="C776" s="11"/>
      <c r="D776" s="11"/>
      <c r="E776" s="11"/>
      <c r="F776" s="12"/>
      <c r="G776" s="13"/>
      <c r="H776" s="12"/>
      <c r="I776" s="11"/>
      <c r="J776" s="18"/>
      <c r="K776" s="18"/>
    </row>
    <row r="777" spans="3:11" x14ac:dyDescent="0.25">
      <c r="C777" s="11"/>
      <c r="D777" s="11"/>
      <c r="E777" s="11"/>
      <c r="F777" s="12"/>
      <c r="G777" s="13"/>
      <c r="H777" s="12"/>
      <c r="I777" s="11"/>
      <c r="J777" s="18"/>
      <c r="K777" s="18"/>
    </row>
    <row r="778" spans="3:11" x14ac:dyDescent="0.25">
      <c r="C778" s="11"/>
      <c r="D778" s="11"/>
      <c r="E778" s="11"/>
      <c r="F778" s="12"/>
      <c r="G778" s="13"/>
      <c r="H778" s="12"/>
      <c r="I778" s="11"/>
      <c r="J778" s="18"/>
      <c r="K778" s="18"/>
    </row>
    <row r="779" spans="3:11" x14ac:dyDescent="0.25">
      <c r="C779" s="11"/>
      <c r="D779" s="11"/>
      <c r="E779" s="11"/>
      <c r="F779" s="12"/>
      <c r="G779" s="13"/>
      <c r="H779" s="12"/>
      <c r="I779" s="11"/>
      <c r="J779" s="18"/>
      <c r="K779" s="18"/>
    </row>
    <row r="780" spans="3:11" x14ac:dyDescent="0.25">
      <c r="C780" s="11"/>
      <c r="D780" s="11"/>
      <c r="E780" s="11"/>
      <c r="F780" s="12"/>
      <c r="G780" s="13"/>
      <c r="H780" s="12"/>
      <c r="I780" s="11"/>
      <c r="J780" s="18"/>
      <c r="K780" s="18"/>
    </row>
    <row r="781" spans="3:11" x14ac:dyDescent="0.25">
      <c r="C781" s="11"/>
      <c r="D781" s="11"/>
      <c r="E781" s="11"/>
      <c r="F781" s="12"/>
      <c r="G781" s="13"/>
      <c r="H781" s="12"/>
      <c r="I781" s="11"/>
      <c r="J781" s="18"/>
      <c r="K781" s="18"/>
    </row>
    <row r="782" spans="3:11" x14ac:dyDescent="0.25">
      <c r="C782" s="11"/>
      <c r="D782" s="11"/>
      <c r="E782" s="11"/>
      <c r="F782" s="12"/>
      <c r="G782" s="13"/>
      <c r="H782" s="12"/>
      <c r="I782" s="11"/>
      <c r="J782" s="18"/>
      <c r="K782" s="18"/>
    </row>
    <row r="783" spans="3:11" x14ac:dyDescent="0.25">
      <c r="C783" s="11"/>
      <c r="D783" s="11"/>
      <c r="E783" s="11"/>
      <c r="F783" s="12"/>
      <c r="G783" s="13"/>
      <c r="H783" s="12"/>
      <c r="I783" s="11"/>
      <c r="J783" s="18"/>
      <c r="K783" s="18"/>
    </row>
    <row r="784" spans="3:11" x14ac:dyDescent="0.25">
      <c r="C784" s="11"/>
      <c r="D784" s="11"/>
      <c r="E784" s="11"/>
      <c r="F784" s="12"/>
      <c r="G784" s="13"/>
      <c r="H784" s="12"/>
      <c r="I784" s="11"/>
      <c r="J784" s="18"/>
      <c r="K784" s="18"/>
    </row>
    <row r="785" spans="3:11" x14ac:dyDescent="0.25">
      <c r="C785" s="11"/>
      <c r="D785" s="11"/>
      <c r="E785" s="11"/>
      <c r="F785" s="12"/>
      <c r="G785" s="13"/>
      <c r="H785" s="12"/>
      <c r="I785" s="11"/>
      <c r="J785" s="18"/>
      <c r="K785" s="18"/>
    </row>
    <row r="786" spans="3:11" x14ac:dyDescent="0.25">
      <c r="C786" s="11"/>
      <c r="D786" s="11"/>
      <c r="E786" s="11"/>
      <c r="F786" s="12"/>
      <c r="G786" s="13"/>
      <c r="H786" s="12"/>
      <c r="I786" s="11"/>
      <c r="J786" s="18"/>
      <c r="K786" s="18"/>
    </row>
    <row r="787" spans="3:11" x14ac:dyDescent="0.25">
      <c r="C787" s="11"/>
      <c r="D787" s="11"/>
      <c r="E787" s="11"/>
      <c r="F787" s="12"/>
      <c r="G787" s="13"/>
      <c r="H787" s="12"/>
      <c r="I787" s="11"/>
      <c r="J787" s="18"/>
      <c r="K787" s="18"/>
    </row>
    <row r="788" spans="3:11" x14ac:dyDescent="0.25">
      <c r="C788" s="11"/>
      <c r="D788" s="11"/>
      <c r="E788" s="11"/>
      <c r="F788" s="12"/>
      <c r="G788" s="13"/>
      <c r="H788" s="12"/>
      <c r="I788" s="11"/>
      <c r="J788" s="18"/>
      <c r="K788" s="18"/>
    </row>
    <row r="789" spans="3:11" x14ac:dyDescent="0.25">
      <c r="C789" s="11"/>
      <c r="D789" s="11"/>
      <c r="E789" s="11"/>
      <c r="F789" s="12"/>
      <c r="G789" s="13"/>
      <c r="H789" s="12"/>
      <c r="I789" s="11"/>
      <c r="J789" s="18"/>
      <c r="K789" s="18"/>
    </row>
    <row r="790" spans="3:11" x14ac:dyDescent="0.25">
      <c r="C790" s="11"/>
      <c r="D790" s="11"/>
      <c r="E790" s="11"/>
      <c r="F790" s="12"/>
      <c r="G790" s="13"/>
      <c r="H790" s="12"/>
      <c r="I790" s="11"/>
      <c r="J790" s="18"/>
      <c r="K790" s="18"/>
    </row>
    <row r="791" spans="3:11" x14ac:dyDescent="0.25">
      <c r="C791" s="11"/>
      <c r="D791" s="11"/>
      <c r="E791" s="11"/>
      <c r="F791" s="12"/>
      <c r="G791" s="13"/>
      <c r="H791" s="12"/>
      <c r="I791" s="11"/>
      <c r="J791" s="18"/>
      <c r="K791" s="18"/>
    </row>
    <row r="792" spans="3:11" x14ac:dyDescent="0.25">
      <c r="C792" s="11"/>
      <c r="D792" s="11"/>
      <c r="E792" s="11"/>
      <c r="F792" s="12"/>
      <c r="G792" s="13"/>
      <c r="H792" s="12"/>
      <c r="I792" s="11"/>
      <c r="J792" s="18"/>
      <c r="K792" s="18"/>
    </row>
    <row r="793" spans="3:11" x14ac:dyDescent="0.25">
      <c r="C793" s="11"/>
      <c r="D793" s="11"/>
      <c r="E793" s="11"/>
      <c r="F793" s="12"/>
      <c r="G793" s="13"/>
      <c r="H793" s="12"/>
      <c r="I793" s="11"/>
      <c r="J793" s="18"/>
      <c r="K793" s="18"/>
    </row>
    <row r="794" spans="3:11" x14ac:dyDescent="0.25">
      <c r="C794" s="11"/>
      <c r="D794" s="11"/>
      <c r="E794" s="11"/>
      <c r="F794" s="12"/>
      <c r="G794" s="13"/>
      <c r="H794" s="12"/>
      <c r="I794" s="11"/>
      <c r="J794" s="18"/>
      <c r="K794" s="18"/>
    </row>
    <row r="795" spans="3:11" x14ac:dyDescent="0.25">
      <c r="C795" s="11"/>
      <c r="D795" s="11"/>
      <c r="E795" s="11"/>
      <c r="F795" s="12"/>
      <c r="G795" s="13"/>
      <c r="H795" s="12"/>
      <c r="I795" s="11"/>
      <c r="J795" s="18"/>
      <c r="K795" s="18"/>
    </row>
    <row r="796" spans="3:11" x14ac:dyDescent="0.25">
      <c r="C796" s="11"/>
      <c r="D796" s="11"/>
      <c r="E796" s="11"/>
      <c r="F796" s="12"/>
      <c r="G796" s="13"/>
      <c r="H796" s="12"/>
      <c r="I796" s="11"/>
      <c r="J796" s="18"/>
      <c r="K796" s="18"/>
    </row>
    <row r="797" spans="3:11" x14ac:dyDescent="0.25">
      <c r="C797" s="11"/>
      <c r="D797" s="11"/>
      <c r="E797" s="11"/>
      <c r="F797" s="12"/>
      <c r="G797" s="13"/>
      <c r="H797" s="12"/>
      <c r="I797" s="11"/>
      <c r="J797" s="18"/>
      <c r="K797" s="18"/>
    </row>
    <row r="798" spans="3:11" x14ac:dyDescent="0.25">
      <c r="C798" s="11"/>
      <c r="D798" s="11"/>
      <c r="E798" s="11"/>
      <c r="F798" s="12"/>
      <c r="G798" s="13"/>
      <c r="H798" s="12"/>
      <c r="I798" s="11"/>
      <c r="J798" s="18"/>
      <c r="K798" s="18"/>
    </row>
    <row r="799" spans="3:11" x14ac:dyDescent="0.25">
      <c r="C799" s="11"/>
      <c r="D799" s="11"/>
      <c r="E799" s="11"/>
      <c r="F799" s="12"/>
      <c r="G799" s="19"/>
      <c r="H799" s="17"/>
      <c r="J799" s="18"/>
      <c r="K799" s="18"/>
    </row>
    <row r="800" spans="3:11" x14ac:dyDescent="0.25">
      <c r="F800" s="17"/>
      <c r="G800" s="19"/>
      <c r="H800" s="17"/>
      <c r="J800" s="18"/>
      <c r="K800" s="18"/>
    </row>
    <row r="801" spans="6:11" x14ac:dyDescent="0.25">
      <c r="F801" s="17"/>
      <c r="G801" s="19"/>
      <c r="H801" s="17"/>
      <c r="J801" s="18"/>
      <c r="K801" s="18"/>
    </row>
    <row r="802" spans="6:11" x14ac:dyDescent="0.25">
      <c r="F802" s="17"/>
      <c r="G802" s="19"/>
      <c r="H802" s="17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VD</vt:lpstr>
      <vt:lpstr>Tabela dinâmica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Jonathan Artmann</cp:lastModifiedBy>
  <dcterms:modified xsi:type="dcterms:W3CDTF">2026-01-13T01:48:44Z</dcterms:modified>
</cp:coreProperties>
</file>